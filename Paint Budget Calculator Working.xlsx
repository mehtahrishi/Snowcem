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Krishna\Downloads\"/>
    </mc:Choice>
  </mc:AlternateContent>
  <xr:revisionPtr revIDLastSave="0" documentId="13_ncr:1_{F04D33AB-CE39-4FB3-96FA-3473ADEA52F0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Working Ext" sheetId="1" r:id="rId1"/>
    <sheet name="Working Int" sheetId="3" r:id="rId2"/>
    <sheet name="Combo Ext" sheetId="2" r:id="rId3"/>
    <sheet name="Combo Int" sheetId="4" r:id="rId4"/>
  </sheets>
  <definedNames>
    <definedName name="_xlnm._FilterDatabase" localSheetId="0" hidden="1">'Working Ext'!$C$3:$Q$30</definedName>
    <definedName name="_xlnm._FilterDatabase" localSheetId="1" hidden="1">'Working Int'!$A$3:$R$24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4" i="3" l="1"/>
  <c r="K24" i="3" s="1"/>
  <c r="L24" i="3" s="1"/>
  <c r="P24" i="3" s="1"/>
  <c r="H23" i="3"/>
  <c r="K23" i="3" s="1"/>
  <c r="L23" i="3" s="1"/>
  <c r="P23" i="3" s="1"/>
  <c r="H22" i="3"/>
  <c r="K22" i="3" s="1"/>
  <c r="L22" i="3" s="1"/>
  <c r="P22" i="3" s="1"/>
  <c r="H21" i="3"/>
  <c r="K21" i="3" s="1"/>
  <c r="L21" i="3" s="1"/>
  <c r="P21" i="3" s="1"/>
  <c r="H20" i="3"/>
  <c r="K20" i="3" s="1"/>
  <c r="L20" i="3" s="1"/>
  <c r="P20" i="3" s="1"/>
  <c r="H19" i="3"/>
  <c r="K19" i="3" s="1"/>
  <c r="L19" i="3" s="1"/>
  <c r="P19" i="3" s="1"/>
  <c r="H18" i="3"/>
  <c r="K18" i="3" s="1"/>
  <c r="L18" i="3" s="1"/>
  <c r="P18" i="3" s="1"/>
  <c r="H17" i="3"/>
  <c r="K17" i="3" s="1"/>
  <c r="L17" i="3" s="1"/>
  <c r="P17" i="3" s="1"/>
  <c r="H16" i="3"/>
  <c r="K16" i="3" s="1"/>
  <c r="L16" i="3" s="1"/>
  <c r="P16" i="3" s="1"/>
  <c r="H15" i="3"/>
  <c r="K15" i="3" s="1"/>
  <c r="L15" i="3" s="1"/>
  <c r="P15" i="3" s="1"/>
  <c r="H14" i="3"/>
  <c r="K14" i="3" s="1"/>
  <c r="L14" i="3" s="1"/>
  <c r="P14" i="3" s="1"/>
  <c r="H13" i="3"/>
  <c r="K13" i="3" s="1"/>
  <c r="L13" i="3" s="1"/>
  <c r="P13" i="3" s="1"/>
  <c r="H12" i="3"/>
  <c r="K12" i="3" s="1"/>
  <c r="L12" i="3" s="1"/>
  <c r="P12" i="3" s="1"/>
  <c r="H11" i="3"/>
  <c r="K11" i="3" s="1"/>
  <c r="L11" i="3" s="1"/>
  <c r="P11" i="3" s="1"/>
  <c r="H10" i="3"/>
  <c r="K10" i="3" s="1"/>
  <c r="L10" i="3" s="1"/>
  <c r="P10" i="3" s="1"/>
  <c r="H9" i="3"/>
  <c r="K9" i="3" s="1"/>
  <c r="L9" i="3" s="1"/>
  <c r="P9" i="3" s="1"/>
  <c r="H8" i="3"/>
  <c r="K8" i="3" s="1"/>
  <c r="L8" i="3" s="1"/>
  <c r="P8" i="3" s="1"/>
  <c r="H7" i="3"/>
  <c r="K7" i="3" s="1"/>
  <c r="L7" i="3" s="1"/>
  <c r="P7" i="3" s="1"/>
  <c r="H6" i="3"/>
  <c r="K6" i="3" s="1"/>
  <c r="L6" i="3" s="1"/>
  <c r="P6" i="3" s="1"/>
  <c r="H5" i="3"/>
  <c r="K5" i="3" s="1"/>
  <c r="L5" i="3" s="1"/>
  <c r="P5" i="3" s="1"/>
  <c r="H4" i="3"/>
  <c r="K4" i="3" s="1"/>
  <c r="L4" i="3" s="1"/>
  <c r="P4" i="3" s="1"/>
  <c r="F2" i="3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20" i="1"/>
  <c r="H21" i="1"/>
  <c r="H22" i="1"/>
  <c r="H19" i="1"/>
  <c r="H23" i="1"/>
  <c r="H24" i="1"/>
  <c r="H25" i="1"/>
  <c r="H26" i="1"/>
  <c r="H27" i="1"/>
  <c r="H28" i="1"/>
  <c r="H29" i="1"/>
  <c r="H30" i="1"/>
  <c r="F2" i="1"/>
  <c r="N5" i="1" s="1"/>
  <c r="H4" i="1"/>
  <c r="M11" i="3" l="1"/>
  <c r="M15" i="3"/>
  <c r="M7" i="3"/>
  <c r="M13" i="3"/>
  <c r="M19" i="3"/>
  <c r="Q24" i="3"/>
  <c r="Q23" i="3"/>
  <c r="Q22" i="3"/>
  <c r="Q21" i="3"/>
  <c r="Q20" i="3"/>
  <c r="Q19" i="3"/>
  <c r="Q18" i="3"/>
  <c r="Q17" i="3"/>
  <c r="Q16" i="3"/>
  <c r="Q15" i="3"/>
  <c r="Q14" i="3"/>
  <c r="Q13" i="3"/>
  <c r="Q12" i="3"/>
  <c r="Q11" i="3"/>
  <c r="Q10" i="3"/>
  <c r="Q9" i="3"/>
  <c r="Q8" i="3"/>
  <c r="Q7" i="3"/>
  <c r="Q6" i="3"/>
  <c r="Q5" i="3"/>
  <c r="Q4" i="3"/>
  <c r="N24" i="3"/>
  <c r="N23" i="3"/>
  <c r="N22" i="3"/>
  <c r="N21" i="3"/>
  <c r="N20" i="3"/>
  <c r="N19" i="3"/>
  <c r="N18" i="3"/>
  <c r="N17" i="3"/>
  <c r="N16" i="3"/>
  <c r="N15" i="3"/>
  <c r="N14" i="3"/>
  <c r="N13" i="3"/>
  <c r="N12" i="3"/>
  <c r="N11" i="3"/>
  <c r="N10" i="3"/>
  <c r="N9" i="3"/>
  <c r="N8" i="3"/>
  <c r="N7" i="3"/>
  <c r="N6" i="3"/>
  <c r="N5" i="3"/>
  <c r="N4" i="3"/>
  <c r="M12" i="3"/>
  <c r="M20" i="3"/>
  <c r="M5" i="3"/>
  <c r="M9" i="3"/>
  <c r="M14" i="3"/>
  <c r="R14" i="3" s="1"/>
  <c r="M17" i="3"/>
  <c r="R17" i="3" s="1"/>
  <c r="M22" i="3"/>
  <c r="M4" i="3"/>
  <c r="M6" i="3"/>
  <c r="M10" i="3"/>
  <c r="M18" i="3"/>
  <c r="M23" i="3"/>
  <c r="M24" i="3"/>
  <c r="M8" i="3"/>
  <c r="M16" i="3"/>
  <c r="M21" i="3"/>
  <c r="Q4" i="1"/>
  <c r="Q23" i="1"/>
  <c r="Q16" i="1"/>
  <c r="Q8" i="1"/>
  <c r="Q30" i="1"/>
  <c r="Q19" i="1"/>
  <c r="Q15" i="1"/>
  <c r="Q11" i="1"/>
  <c r="Q7" i="1"/>
  <c r="Q29" i="1"/>
  <c r="Q25" i="1"/>
  <c r="Q22" i="1"/>
  <c r="Q18" i="1"/>
  <c r="Q14" i="1"/>
  <c r="Q10" i="1"/>
  <c r="Q6" i="1"/>
  <c r="Q27" i="1"/>
  <c r="Q20" i="1"/>
  <c r="Q12" i="1"/>
  <c r="Q26" i="1"/>
  <c r="Q28" i="1"/>
  <c r="Q24" i="1"/>
  <c r="Q21" i="1"/>
  <c r="Q17" i="1"/>
  <c r="Q13" i="1"/>
  <c r="Q9" i="1"/>
  <c r="Q5" i="1"/>
  <c r="N29" i="1"/>
  <c r="N25" i="1"/>
  <c r="N22" i="1"/>
  <c r="N18" i="1"/>
  <c r="N14" i="1"/>
  <c r="N10" i="1"/>
  <c r="N6" i="1"/>
  <c r="N4" i="1"/>
  <c r="N27" i="1"/>
  <c r="N23" i="1"/>
  <c r="N20" i="1"/>
  <c r="N16" i="1"/>
  <c r="N12" i="1"/>
  <c r="N8" i="1"/>
  <c r="N30" i="1"/>
  <c r="N26" i="1"/>
  <c r="N19" i="1"/>
  <c r="N15" i="1"/>
  <c r="N11" i="1"/>
  <c r="N7" i="1"/>
  <c r="N28" i="1"/>
  <c r="N24" i="1"/>
  <c r="N21" i="1"/>
  <c r="N17" i="1"/>
  <c r="N13" i="1"/>
  <c r="N9" i="1"/>
  <c r="R22" i="3" l="1"/>
  <c r="R9" i="3"/>
  <c r="R11" i="3"/>
  <c r="R5" i="3"/>
  <c r="R7" i="3"/>
  <c r="R19" i="3"/>
  <c r="R10" i="3"/>
  <c r="R18" i="3"/>
  <c r="R6" i="3"/>
  <c r="R15" i="3"/>
  <c r="R13" i="3"/>
  <c r="R24" i="3"/>
  <c r="R16" i="3"/>
  <c r="R23" i="3"/>
  <c r="R8" i="3"/>
  <c r="R12" i="3"/>
  <c r="R4" i="3"/>
  <c r="R21" i="3"/>
  <c r="R20" i="3"/>
  <c r="K26" i="1"/>
  <c r="L26" i="1" s="1"/>
  <c r="K19" i="1"/>
  <c r="L19" i="1" s="1"/>
  <c r="K5" i="1"/>
  <c r="L5" i="1" s="1"/>
  <c r="P5" i="1" s="1"/>
  <c r="K6" i="1"/>
  <c r="L6" i="1" s="1"/>
  <c r="K7" i="1"/>
  <c r="L7" i="1" s="1"/>
  <c r="K8" i="1"/>
  <c r="L8" i="1" s="1"/>
  <c r="K9" i="1"/>
  <c r="L9" i="1" s="1"/>
  <c r="K10" i="1"/>
  <c r="L10" i="1" s="1"/>
  <c r="K11" i="1"/>
  <c r="L11" i="1" s="1"/>
  <c r="K12" i="1"/>
  <c r="L12" i="1" s="1"/>
  <c r="K13" i="1"/>
  <c r="L13" i="1" s="1"/>
  <c r="K14" i="1"/>
  <c r="L14" i="1" s="1"/>
  <c r="K15" i="1"/>
  <c r="L15" i="1" s="1"/>
  <c r="K16" i="1"/>
  <c r="L16" i="1" s="1"/>
  <c r="K17" i="1"/>
  <c r="L17" i="1" s="1"/>
  <c r="K18" i="1"/>
  <c r="L18" i="1" s="1"/>
  <c r="K20" i="1"/>
  <c r="L20" i="1" s="1"/>
  <c r="K21" i="1"/>
  <c r="L21" i="1" s="1"/>
  <c r="K22" i="1"/>
  <c r="L22" i="1" s="1"/>
  <c r="K23" i="1"/>
  <c r="L23" i="1" s="1"/>
  <c r="P23" i="1" s="1"/>
  <c r="K24" i="1"/>
  <c r="L24" i="1" s="1"/>
  <c r="K25" i="1"/>
  <c r="L25" i="1" s="1"/>
  <c r="K27" i="1"/>
  <c r="L27" i="1" s="1"/>
  <c r="K28" i="1"/>
  <c r="L28" i="1" s="1"/>
  <c r="K29" i="1"/>
  <c r="L29" i="1" s="1"/>
  <c r="K30" i="1"/>
  <c r="L30" i="1" s="1"/>
  <c r="K4" i="1"/>
  <c r="L4" i="1" s="1"/>
  <c r="M29" i="1" l="1"/>
  <c r="R29" i="1" s="1"/>
  <c r="P29" i="1"/>
  <c r="M24" i="1"/>
  <c r="R24" i="1" s="1"/>
  <c r="P24" i="1"/>
  <c r="M20" i="1"/>
  <c r="R20" i="1" s="1"/>
  <c r="P20" i="1"/>
  <c r="M16" i="1"/>
  <c r="R16" i="1" s="1"/>
  <c r="P16" i="1"/>
  <c r="M12" i="1"/>
  <c r="R12" i="1" s="1"/>
  <c r="P12" i="1"/>
  <c r="M8" i="1"/>
  <c r="R8" i="1" s="1"/>
  <c r="P8" i="1"/>
  <c r="M19" i="1"/>
  <c r="R19" i="1" s="1"/>
  <c r="P19" i="1"/>
  <c r="M28" i="1"/>
  <c r="R28" i="1" s="1"/>
  <c r="P28" i="1"/>
  <c r="M15" i="1"/>
  <c r="R15" i="1" s="1"/>
  <c r="P15" i="1"/>
  <c r="M11" i="1"/>
  <c r="R11" i="1" s="1"/>
  <c r="P11" i="1"/>
  <c r="M7" i="1"/>
  <c r="R7" i="1" s="1"/>
  <c r="P7" i="1"/>
  <c r="M26" i="1"/>
  <c r="R26" i="1" s="1"/>
  <c r="P26" i="1"/>
  <c r="M4" i="1"/>
  <c r="R4" i="1" s="1"/>
  <c r="P4" i="1"/>
  <c r="M27" i="1"/>
  <c r="R27" i="1" s="1"/>
  <c r="P27" i="1"/>
  <c r="M22" i="1"/>
  <c r="R22" i="1" s="1"/>
  <c r="P22" i="1"/>
  <c r="M18" i="1"/>
  <c r="R18" i="1" s="1"/>
  <c r="P18" i="1"/>
  <c r="M14" i="1"/>
  <c r="R14" i="1" s="1"/>
  <c r="P14" i="1"/>
  <c r="M10" i="1"/>
  <c r="R10" i="1" s="1"/>
  <c r="P10" i="1"/>
  <c r="M6" i="1"/>
  <c r="R6" i="1" s="1"/>
  <c r="P6" i="1"/>
  <c r="M30" i="1"/>
  <c r="R30" i="1" s="1"/>
  <c r="P30" i="1"/>
  <c r="M25" i="1"/>
  <c r="R25" i="1" s="1"/>
  <c r="P25" i="1"/>
  <c r="M21" i="1"/>
  <c r="R21" i="1" s="1"/>
  <c r="P21" i="1"/>
  <c r="M17" i="1"/>
  <c r="R17" i="1" s="1"/>
  <c r="P17" i="1"/>
  <c r="M13" i="1"/>
  <c r="R13" i="1" s="1"/>
  <c r="P13" i="1"/>
  <c r="M9" i="1"/>
  <c r="R9" i="1" s="1"/>
  <c r="P9" i="1"/>
  <c r="M5" i="1"/>
  <c r="R5" i="1" s="1"/>
  <c r="M23" i="1"/>
  <c r="R23" i="1" s="1"/>
</calcChain>
</file>

<file path=xl/sharedStrings.xml><?xml version="1.0" encoding="utf-8"?>
<sst xmlns="http://schemas.openxmlformats.org/spreadsheetml/2006/main" count="280" uniqueCount="80">
  <si>
    <t>Sr.No:</t>
  </si>
  <si>
    <t>Product Name</t>
  </si>
  <si>
    <t>DPL</t>
  </si>
  <si>
    <t>Pack</t>
  </si>
  <si>
    <t>Coverage/lt</t>
  </si>
  <si>
    <t>Uniglosss 18</t>
  </si>
  <si>
    <t>Uniglosss 15</t>
  </si>
  <si>
    <t>Uniglosss 11</t>
  </si>
  <si>
    <t>Uniglosss 10</t>
  </si>
  <si>
    <t>Pentasia Universal</t>
  </si>
  <si>
    <t>Pentasia Exterior Emulsion</t>
  </si>
  <si>
    <t>Sandtex Matt</t>
  </si>
  <si>
    <t>Snowcryl Weatherprotek shine</t>
  </si>
  <si>
    <t>Snowcryl Shine</t>
  </si>
  <si>
    <t xml:space="preserve">Snowcryl </t>
  </si>
  <si>
    <t>Pentasia Dust Guard</t>
  </si>
  <si>
    <t>S.Plus Shine</t>
  </si>
  <si>
    <t xml:space="preserve">S.Plus </t>
  </si>
  <si>
    <t>Outweather</t>
  </si>
  <si>
    <t>Trump</t>
  </si>
  <si>
    <t>Zenita Velvet finish</t>
  </si>
  <si>
    <t>Zenita Int Emulsion</t>
  </si>
  <si>
    <t>Celeste</t>
  </si>
  <si>
    <t>Sentino Easy 2 Wash</t>
  </si>
  <si>
    <t>Sentino Int Emulsion</t>
  </si>
  <si>
    <t>Snowpearl Shine</t>
  </si>
  <si>
    <t>Snowpearl</t>
  </si>
  <si>
    <t>Snowcoat</t>
  </si>
  <si>
    <t>Snowcoat PRO</t>
  </si>
  <si>
    <t>Snowcare Waterprooof Wall Putty</t>
  </si>
  <si>
    <t>Snowcare Wall Putty</t>
  </si>
  <si>
    <t>Snowpearl Distemper</t>
  </si>
  <si>
    <t>Snowcem Acrylic Putty</t>
  </si>
  <si>
    <t>Snowcare Terrace Seal &amp; Chill</t>
  </si>
  <si>
    <t>Snowcare Damp Proof 10 YR</t>
  </si>
  <si>
    <t>Snowcare Damp Protect Dual</t>
  </si>
  <si>
    <t>Snowcare Sealer &amp; Primer</t>
  </si>
  <si>
    <t>Spl.CW.Primer</t>
  </si>
  <si>
    <t>Universal Primer</t>
  </si>
  <si>
    <t>Snowpearl Int Primer</t>
  </si>
  <si>
    <t>Outweather Ext Int Primer</t>
  </si>
  <si>
    <t>Outweather Xpert Primer</t>
  </si>
  <si>
    <t>Outweather Prof Primer</t>
  </si>
  <si>
    <t>Cost/lt/kg</t>
  </si>
  <si>
    <t>Cost/sq.ft</t>
  </si>
  <si>
    <t>MRP</t>
  </si>
  <si>
    <t>S.Plus Duo Primer</t>
  </si>
  <si>
    <t>Sandtex Matt floor coat Emulsion</t>
  </si>
  <si>
    <t>Category</t>
  </si>
  <si>
    <t>Ext</t>
  </si>
  <si>
    <t>Int</t>
  </si>
  <si>
    <t>WP</t>
  </si>
  <si>
    <t>PRI</t>
  </si>
  <si>
    <t>PUTTY</t>
  </si>
  <si>
    <t>DIST</t>
  </si>
  <si>
    <t>Total Carpet Area</t>
  </si>
  <si>
    <t>***</t>
  </si>
  <si>
    <t>No of Coats</t>
  </si>
  <si>
    <t>Cost/sq.ft/coat</t>
  </si>
  <si>
    <t>Material Required</t>
  </si>
  <si>
    <t>Material Cost</t>
  </si>
  <si>
    <t>Labour cost</t>
  </si>
  <si>
    <t>Labour</t>
  </si>
  <si>
    <t>Total Cost</t>
  </si>
  <si>
    <t>Cost sq.ft M+L</t>
  </si>
  <si>
    <t>s</t>
  </si>
  <si>
    <t>Snowcare Damp Protect Dual (Interior Basecoat)</t>
  </si>
  <si>
    <t>Recommended Primer</t>
  </si>
  <si>
    <t>Recommended Primer 1</t>
  </si>
  <si>
    <t>Self Priming</t>
  </si>
  <si>
    <t>Recommended Putty</t>
  </si>
  <si>
    <t>Luxury</t>
  </si>
  <si>
    <t>UNI-GLOSSS-18</t>
  </si>
  <si>
    <t>UNI-GLOSSS-15</t>
  </si>
  <si>
    <t>UNI-GLOSSS-11</t>
  </si>
  <si>
    <t>UNI-GLOSSS-10</t>
  </si>
  <si>
    <t>Pentasia 5 in 1 Exterior Emulsion</t>
  </si>
  <si>
    <t>Premium</t>
  </si>
  <si>
    <t>Economy</t>
  </si>
  <si>
    <t>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</si>
</sst>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485"/>
        <bgColor rgb="FFFCE4D6"/>
      </patternFill>
    </fill>
    <fill>
      <patternFill patternType="solid">
        <fgColor theme="7" tint="0.59999389629810485"/>
        <bgColor rgb="FFFCE4D6"/>
      </patternFill>
    </fill>
    <fill>
      <patternFill patternType="solid">
        <fgColor theme="7" tint="0.59999389629810485"/>
        <bgColor rgb="FFF6C6AD"/>
      </patternFill>
    </fill>
    <fill>
      <patternFill patternType="solid">
        <fgColor theme="5" tint="0.59999389629810485"/>
        <bgColor rgb="FFFCE4D6"/>
      </patternFill>
    </fill>
    <fill>
      <patternFill patternType="solid">
        <fgColor theme="8" tint="0.59999389629810485"/>
        <bgColor rgb="FFDCEAF7"/>
      </patternFill>
    </fill>
    <fill>
      <patternFill patternType="solid">
        <fgColor theme="5" tint="0.59999389629810485"/>
        <bgColor rgb="FF83CBEB"/>
      </patternFill>
    </fill>
    <fill>
      <patternFill patternType="solid">
        <fgColor theme="7" tint="0.59999389629810485"/>
        <bgColor rgb="FF83CBEB"/>
      </patternFill>
    </fill>
    <fill>
      <patternFill patternType="solid">
        <fgColor theme="8" tint="0.59999389629810485"/>
        <bgColor rgb="FFD9F2D0"/>
      </patternFill>
    </fill>
    <fill>
      <patternFill patternType="solid">
        <fgColor theme="8" tint="0.59999389629810485"/>
        <bgColor rgb="FF92D050"/>
      </patternFill>
    </fill>
    <fill>
      <patternFill patternType="solid">
        <fgColor theme="7" tint="0.59999389629810485"/>
        <bgColor rgb="FFD9F2D0"/>
      </patternFill>
    </fill>
    <fill>
      <patternFill patternType="solid">
        <fgColor theme="7" tint="0.59999389629810485"/>
        <bgColor rgb="FF92D050"/>
      </patternFill>
    </fill>
    <fill>
      <patternFill patternType="solid">
        <fgColor theme="5" tint="0.59999389629810485"/>
        <bgColor rgb="FFD9F2D0"/>
      </patternFill>
    </fill>
    <fill>
      <patternFill patternType="solid">
        <fgColor theme="5" tint="0.59999389629810485"/>
        <bgColor rgb="FF92D05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2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2" borderId="1" xfId="0" applyFill="1" applyBorder="1" applyAlignment="1">
      <alignment horizontal="center"/>
    </xf>
    <xf numFmtId="1" fontId="0" fillId="0" borderId="1" xfId="0" applyNumberFormat="1" applyBorder="1"/>
    <xf numFmtId="164" fontId="0" fillId="0" borderId="1" xfId="0" applyNumberFormat="1" applyBorder="1"/>
    <xf numFmtId="0" fontId="0" fillId="0" borderId="1" xfId="0" applyBorder="1" applyAlignment="1">
      <alignment horizontal="center" wrapText="1"/>
    </xf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0" fontId="0" fillId="10" borderId="1" xfId="0" applyFill="1" applyBorder="1"/>
    <xf numFmtId="0" fontId="0" fillId="11" borderId="1" xfId="0" applyFill="1" applyBorder="1"/>
    <xf numFmtId="0" fontId="0" fillId="12" borderId="1" xfId="0" applyFill="1" applyBorder="1"/>
    <xf numFmtId="0" fontId="0" fillId="13" borderId="1" xfId="0" applyFill="1" applyBorder="1"/>
    <xf numFmtId="0" fontId="0" fillId="14" borderId="1" xfId="0" applyFill="1" applyBorder="1"/>
    <xf numFmtId="0" fontId="0" fillId="15" borderId="1" xfId="0" applyFill="1" applyBorder="1"/>
    <xf numFmtId="0" fontId="0" fillId="16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R42"/>
  <sheetViews>
    <sheetView workbookViewId="0">
      <selection activeCell="B5" sqref="B5"/>
    </sheetView>
  </sheetViews>
  <sheetFormatPr defaultRowHeight="15" x14ac:dyDescent="0.25"/>
  <cols>
    <col min="1" max="1" width="7.140625" style="1" customWidth="1"/>
    <col min="2" max="2" width="18.140625" style="1" customWidth="1"/>
    <col min="3" max="3" width="31.7109375" bestFit="1" customWidth="1"/>
    <col min="4" max="4" width="9.5703125" style="1" customWidth="1"/>
    <col min="5" max="5" width="8.42578125" customWidth="1"/>
    <col min="6" max="6" width="10.5703125" style="1" customWidth="1"/>
    <col min="7" max="7" width="8" style="1" customWidth="1"/>
    <col min="8" max="9" width="10" style="1" customWidth="1"/>
    <col min="10" max="10" width="9.140625" style="1" customWidth="1"/>
    <col min="11" max="11" width="10.85546875" customWidth="1"/>
    <col min="12" max="12" width="15.85546875" style="1" customWidth="1"/>
    <col min="13" max="13" width="10.140625" customWidth="1"/>
    <col min="14" max="14" width="11.85546875" customWidth="1"/>
    <col min="15" max="15" width="7.5703125" customWidth="1"/>
    <col min="16" max="16" width="9.28515625" customWidth="1"/>
    <col min="17" max="17" width="10.140625" customWidth="1"/>
  </cols>
  <sheetData>
    <row r="2" spans="1:18" x14ac:dyDescent="0.25">
      <c r="A2" s="2" t="s">
        <v>56</v>
      </c>
      <c r="B2" s="2"/>
      <c r="C2" s="3" t="s">
        <v>55</v>
      </c>
      <c r="D2" s="6">
        <v>500</v>
      </c>
      <c r="E2" s="10">
        <v>2.5</v>
      </c>
      <c r="F2" s="2">
        <f>D2*E2</f>
        <v>1250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ht="30" customHeight="1" x14ac:dyDescent="0.25">
      <c r="A3" s="2" t="s">
        <v>0</v>
      </c>
      <c r="B3" s="2" t="s">
        <v>79</v>
      </c>
      <c r="C3" s="3" t="s">
        <v>1</v>
      </c>
      <c r="D3" s="2" t="s">
        <v>48</v>
      </c>
      <c r="E3" s="3" t="s">
        <v>45</v>
      </c>
      <c r="F3" s="2" t="s">
        <v>2</v>
      </c>
      <c r="G3" s="2" t="s">
        <v>3</v>
      </c>
      <c r="H3" s="9" t="s">
        <v>43</v>
      </c>
      <c r="I3" s="2" t="s">
        <v>4</v>
      </c>
      <c r="J3" s="9" t="s">
        <v>57</v>
      </c>
      <c r="K3" s="9" t="s">
        <v>58</v>
      </c>
      <c r="L3" s="9" t="s">
        <v>44</v>
      </c>
      <c r="M3" s="9" t="s">
        <v>60</v>
      </c>
      <c r="N3" s="9" t="s">
        <v>59</v>
      </c>
      <c r="O3" s="2" t="s">
        <v>62</v>
      </c>
      <c r="P3" s="9" t="s">
        <v>64</v>
      </c>
      <c r="Q3" s="9" t="s">
        <v>61</v>
      </c>
      <c r="R3" s="2" t="s">
        <v>63</v>
      </c>
    </row>
    <row r="4" spans="1:18" x14ac:dyDescent="0.25">
      <c r="A4" s="2">
        <v>1</v>
      </c>
      <c r="B4" s="11" t="s">
        <v>71</v>
      </c>
      <c r="C4" s="3" t="s">
        <v>72</v>
      </c>
      <c r="D4" s="2" t="s">
        <v>49</v>
      </c>
      <c r="E4" s="3">
        <v>21694</v>
      </c>
      <c r="F4" s="2">
        <v>12052</v>
      </c>
      <c r="G4" s="2">
        <v>20</v>
      </c>
      <c r="H4" s="5">
        <f>E4/G4</f>
        <v>1084.7</v>
      </c>
      <c r="I4" s="2">
        <v>180</v>
      </c>
      <c r="J4" s="2">
        <v>2</v>
      </c>
      <c r="K4" s="4">
        <f>H4/I4</f>
        <v>6.0261111111111116</v>
      </c>
      <c r="L4" s="4">
        <f>J4*K4</f>
        <v>12.052222222222223</v>
      </c>
      <c r="M4" s="7">
        <f>L4*F$2</f>
        <v>15065.277777777779</v>
      </c>
      <c r="N4" s="8">
        <f>F$2/(I4/J4)</f>
        <v>13.888888888888889</v>
      </c>
      <c r="O4" s="8">
        <v>6</v>
      </c>
      <c r="P4" s="8">
        <f>L4+O4</f>
        <v>18.052222222222223</v>
      </c>
      <c r="Q4" s="3">
        <f>O4*F$2</f>
        <v>7500</v>
      </c>
      <c r="R4" s="7">
        <f>M4+Q4</f>
        <v>22565.277777777781</v>
      </c>
    </row>
    <row r="5" spans="1:18" x14ac:dyDescent="0.25">
      <c r="A5" s="2">
        <v>2</v>
      </c>
      <c r="B5" s="11" t="s">
        <v>71</v>
      </c>
      <c r="C5" s="3" t="s">
        <v>73</v>
      </c>
      <c r="D5" s="2" t="s">
        <v>49</v>
      </c>
      <c r="E5" s="3">
        <v>19836</v>
      </c>
      <c r="F5" s="2">
        <v>11020</v>
      </c>
      <c r="G5" s="2">
        <v>20</v>
      </c>
      <c r="H5" s="5">
        <f t="shared" ref="H5:H30" si="0">E5/G5</f>
        <v>991.8</v>
      </c>
      <c r="I5" s="2">
        <v>170</v>
      </c>
      <c r="J5" s="2">
        <v>2</v>
      </c>
      <c r="K5" s="4">
        <f t="shared" ref="K5:K30" si="1">H5/I5</f>
        <v>5.8341176470588234</v>
      </c>
      <c r="L5" s="4">
        <f t="shared" ref="L5:L30" si="2">J5*K5</f>
        <v>11.668235294117647</v>
      </c>
      <c r="M5" s="7">
        <f t="shared" ref="M5:M30" si="3">L5*F$2</f>
        <v>14585.294117647058</v>
      </c>
      <c r="N5" s="8">
        <f t="shared" ref="N5:N30" si="4">F$2/(I5/J5)</f>
        <v>14.705882352941176</v>
      </c>
      <c r="O5" s="8">
        <v>6</v>
      </c>
      <c r="P5" s="8">
        <f t="shared" ref="P5:P30" si="5">L5+O5</f>
        <v>17.668235294117647</v>
      </c>
      <c r="Q5" s="3">
        <f t="shared" ref="Q5:Q30" si="6">O5*F$2</f>
        <v>7500</v>
      </c>
      <c r="R5" s="7">
        <f t="shared" ref="R5:R30" si="7">M5+Q5</f>
        <v>22085.294117647056</v>
      </c>
    </row>
    <row r="6" spans="1:18" x14ac:dyDescent="0.25">
      <c r="A6" s="2">
        <v>3</v>
      </c>
      <c r="B6" s="11" t="s">
        <v>71</v>
      </c>
      <c r="C6" s="3" t="s">
        <v>74</v>
      </c>
      <c r="D6" s="2" t="s">
        <v>49</v>
      </c>
      <c r="E6" s="3">
        <v>17820</v>
      </c>
      <c r="F6" s="2">
        <v>9900</v>
      </c>
      <c r="G6" s="2">
        <v>20</v>
      </c>
      <c r="H6" s="5">
        <f t="shared" si="0"/>
        <v>891</v>
      </c>
      <c r="I6" s="2">
        <v>160</v>
      </c>
      <c r="J6" s="2">
        <v>2</v>
      </c>
      <c r="K6" s="4">
        <f t="shared" si="1"/>
        <v>5.5687499999999996</v>
      </c>
      <c r="L6" s="4">
        <f t="shared" si="2"/>
        <v>11.137499999999999</v>
      </c>
      <c r="M6" s="7">
        <f t="shared" si="3"/>
        <v>13921.875</v>
      </c>
      <c r="N6" s="8">
        <f t="shared" si="4"/>
        <v>15.625</v>
      </c>
      <c r="O6" s="8">
        <v>6</v>
      </c>
      <c r="P6" s="8">
        <f t="shared" si="5"/>
        <v>17.137499999999999</v>
      </c>
      <c r="Q6" s="3">
        <f t="shared" si="6"/>
        <v>7500</v>
      </c>
      <c r="R6" s="7">
        <f t="shared" si="7"/>
        <v>21421.875</v>
      </c>
    </row>
    <row r="7" spans="1:18" x14ac:dyDescent="0.25">
      <c r="A7" s="2">
        <v>4</v>
      </c>
      <c r="B7" s="11" t="s">
        <v>71</v>
      </c>
      <c r="C7" s="3" t="s">
        <v>75</v>
      </c>
      <c r="D7" s="2" t="s">
        <v>49</v>
      </c>
      <c r="E7" s="3">
        <v>15624</v>
      </c>
      <c r="F7" s="2">
        <v>8680</v>
      </c>
      <c r="G7" s="2">
        <v>20</v>
      </c>
      <c r="H7" s="5">
        <f t="shared" si="0"/>
        <v>781.2</v>
      </c>
      <c r="I7" s="2">
        <v>160</v>
      </c>
      <c r="J7" s="2">
        <v>2</v>
      </c>
      <c r="K7" s="4">
        <f t="shared" si="1"/>
        <v>4.8825000000000003</v>
      </c>
      <c r="L7" s="4">
        <f t="shared" si="2"/>
        <v>9.7650000000000006</v>
      </c>
      <c r="M7" s="7">
        <f t="shared" si="3"/>
        <v>12206.25</v>
      </c>
      <c r="N7" s="8">
        <f t="shared" si="4"/>
        <v>15.625</v>
      </c>
      <c r="O7" s="8">
        <v>6</v>
      </c>
      <c r="P7" s="8">
        <f t="shared" si="5"/>
        <v>15.765000000000001</v>
      </c>
      <c r="Q7" s="3">
        <f t="shared" si="6"/>
        <v>7500</v>
      </c>
      <c r="R7" s="7">
        <f t="shared" si="7"/>
        <v>19706.25</v>
      </c>
    </row>
    <row r="8" spans="1:18" x14ac:dyDescent="0.25">
      <c r="A8" s="2">
        <v>5</v>
      </c>
      <c r="B8" s="11" t="s">
        <v>71</v>
      </c>
      <c r="C8" s="3" t="s">
        <v>76</v>
      </c>
      <c r="D8" s="2" t="s">
        <v>49</v>
      </c>
      <c r="E8" s="3">
        <v>15048</v>
      </c>
      <c r="F8" s="2">
        <v>8360</v>
      </c>
      <c r="G8" s="2">
        <v>20</v>
      </c>
      <c r="H8" s="5">
        <f t="shared" si="0"/>
        <v>752.4</v>
      </c>
      <c r="I8" s="2">
        <v>140</v>
      </c>
      <c r="J8" s="2">
        <v>2</v>
      </c>
      <c r="K8" s="4">
        <f t="shared" si="1"/>
        <v>5.3742857142857146</v>
      </c>
      <c r="L8" s="4">
        <f t="shared" si="2"/>
        <v>10.748571428571429</v>
      </c>
      <c r="M8" s="7">
        <f t="shared" si="3"/>
        <v>13435.714285714286</v>
      </c>
      <c r="N8" s="8">
        <f t="shared" si="4"/>
        <v>17.857142857142858</v>
      </c>
      <c r="O8" s="8">
        <v>6</v>
      </c>
      <c r="P8" s="8">
        <f t="shared" si="5"/>
        <v>16.748571428571431</v>
      </c>
      <c r="Q8" s="3">
        <f t="shared" si="6"/>
        <v>7500</v>
      </c>
      <c r="R8" s="7">
        <f t="shared" si="7"/>
        <v>20935.714285714286</v>
      </c>
    </row>
    <row r="9" spans="1:18" x14ac:dyDescent="0.25">
      <c r="A9" s="2">
        <v>6</v>
      </c>
      <c r="B9" s="12" t="s">
        <v>77</v>
      </c>
      <c r="C9" s="3" t="s">
        <v>9</v>
      </c>
      <c r="D9" s="2" t="s">
        <v>49</v>
      </c>
      <c r="E9" s="3">
        <v>12654</v>
      </c>
      <c r="F9" s="2">
        <v>7030</v>
      </c>
      <c r="G9" s="2">
        <v>20</v>
      </c>
      <c r="H9" s="5">
        <f t="shared" si="0"/>
        <v>632.70000000000005</v>
      </c>
      <c r="I9" s="2">
        <v>180</v>
      </c>
      <c r="J9" s="2">
        <v>2</v>
      </c>
      <c r="K9" s="4">
        <f t="shared" si="1"/>
        <v>3.5150000000000001</v>
      </c>
      <c r="L9" s="4">
        <f t="shared" si="2"/>
        <v>7.03</v>
      </c>
      <c r="M9" s="7">
        <f t="shared" si="3"/>
        <v>8787.5</v>
      </c>
      <c r="N9" s="8">
        <f t="shared" si="4"/>
        <v>13.888888888888889</v>
      </c>
      <c r="O9" s="8">
        <v>6</v>
      </c>
      <c r="P9" s="8">
        <f t="shared" si="5"/>
        <v>13.030000000000001</v>
      </c>
      <c r="Q9" s="3">
        <f t="shared" si="6"/>
        <v>7500</v>
      </c>
      <c r="R9" s="7">
        <f t="shared" si="7"/>
        <v>16287.5</v>
      </c>
    </row>
    <row r="10" spans="1:18" x14ac:dyDescent="0.25">
      <c r="A10" s="2">
        <v>7</v>
      </c>
      <c r="B10" s="12" t="s">
        <v>77</v>
      </c>
      <c r="C10" s="3" t="s">
        <v>15</v>
      </c>
      <c r="D10" s="2" t="s">
        <v>49</v>
      </c>
      <c r="E10" s="3">
        <v>10980</v>
      </c>
      <c r="F10" s="2">
        <v>6100</v>
      </c>
      <c r="G10" s="2">
        <v>20</v>
      </c>
      <c r="H10" s="5">
        <f t="shared" si="0"/>
        <v>549</v>
      </c>
      <c r="I10" s="2">
        <v>115</v>
      </c>
      <c r="J10" s="2">
        <v>2</v>
      </c>
      <c r="K10" s="4">
        <f t="shared" si="1"/>
        <v>4.7739130434782613</v>
      </c>
      <c r="L10" s="4">
        <f t="shared" si="2"/>
        <v>9.5478260869565226</v>
      </c>
      <c r="M10" s="7">
        <f t="shared" si="3"/>
        <v>11934.782608695654</v>
      </c>
      <c r="N10" s="8">
        <f t="shared" si="4"/>
        <v>21.739130434782609</v>
      </c>
      <c r="O10" s="8">
        <v>6</v>
      </c>
      <c r="P10" s="8">
        <f t="shared" si="5"/>
        <v>15.547826086956523</v>
      </c>
      <c r="Q10" s="3">
        <f t="shared" si="6"/>
        <v>7500</v>
      </c>
      <c r="R10" s="7">
        <f t="shared" si="7"/>
        <v>19434.782608695656</v>
      </c>
    </row>
    <row r="11" spans="1:18" x14ac:dyDescent="0.25">
      <c r="A11" s="2">
        <v>8</v>
      </c>
      <c r="B11" s="12" t="s">
        <v>77</v>
      </c>
      <c r="C11" s="3" t="s">
        <v>11</v>
      </c>
      <c r="D11" s="2" t="s">
        <v>49</v>
      </c>
      <c r="E11" s="3">
        <v>9918</v>
      </c>
      <c r="F11" s="2">
        <v>5510</v>
      </c>
      <c r="G11" s="2">
        <v>20</v>
      </c>
      <c r="H11" s="5">
        <f t="shared" si="0"/>
        <v>495.9</v>
      </c>
      <c r="I11" s="2">
        <v>95</v>
      </c>
      <c r="J11" s="2">
        <v>2</v>
      </c>
      <c r="K11" s="4">
        <f t="shared" si="1"/>
        <v>5.22</v>
      </c>
      <c r="L11" s="4">
        <f t="shared" si="2"/>
        <v>10.44</v>
      </c>
      <c r="M11" s="7">
        <f t="shared" si="3"/>
        <v>13050</v>
      </c>
      <c r="N11" s="8">
        <f t="shared" si="4"/>
        <v>26.315789473684209</v>
      </c>
      <c r="O11" s="8">
        <v>6</v>
      </c>
      <c r="P11" s="8">
        <f t="shared" si="5"/>
        <v>16.439999999999998</v>
      </c>
      <c r="Q11" s="3">
        <f t="shared" si="6"/>
        <v>7500</v>
      </c>
      <c r="R11" s="7">
        <f t="shared" si="7"/>
        <v>20550</v>
      </c>
    </row>
    <row r="12" spans="1:18" x14ac:dyDescent="0.25">
      <c r="A12" s="2">
        <v>9</v>
      </c>
      <c r="B12" s="13" t="s">
        <v>77</v>
      </c>
      <c r="C12" s="3" t="s">
        <v>12</v>
      </c>
      <c r="D12" s="2" t="s">
        <v>49</v>
      </c>
      <c r="E12" s="3">
        <v>10890</v>
      </c>
      <c r="F12" s="2">
        <v>6050</v>
      </c>
      <c r="G12" s="2">
        <v>20</v>
      </c>
      <c r="H12" s="5">
        <f t="shared" si="0"/>
        <v>544.5</v>
      </c>
      <c r="I12" s="2">
        <v>115</v>
      </c>
      <c r="J12" s="2">
        <v>2</v>
      </c>
      <c r="K12" s="4">
        <f t="shared" si="1"/>
        <v>4.7347826086956522</v>
      </c>
      <c r="L12" s="4">
        <f t="shared" si="2"/>
        <v>9.4695652173913043</v>
      </c>
      <c r="M12" s="7">
        <f t="shared" si="3"/>
        <v>11836.95652173913</v>
      </c>
      <c r="N12" s="8">
        <f t="shared" si="4"/>
        <v>21.739130434782609</v>
      </c>
      <c r="O12" s="8">
        <v>6</v>
      </c>
      <c r="P12" s="8">
        <f t="shared" si="5"/>
        <v>15.469565217391304</v>
      </c>
      <c r="Q12" s="3">
        <f t="shared" si="6"/>
        <v>7500</v>
      </c>
      <c r="R12" s="7">
        <f t="shared" si="7"/>
        <v>19336.956521739128</v>
      </c>
    </row>
    <row r="13" spans="1:18" x14ac:dyDescent="0.25">
      <c r="A13" s="2">
        <v>10</v>
      </c>
      <c r="B13" s="13" t="s">
        <v>77</v>
      </c>
      <c r="C13" s="3" t="s">
        <v>13</v>
      </c>
      <c r="D13" s="2" t="s">
        <v>49</v>
      </c>
      <c r="E13" s="3">
        <v>10494</v>
      </c>
      <c r="F13" s="2">
        <v>5830</v>
      </c>
      <c r="G13" s="2">
        <v>20</v>
      </c>
      <c r="H13" s="5">
        <f t="shared" si="0"/>
        <v>524.70000000000005</v>
      </c>
      <c r="I13" s="2">
        <v>130</v>
      </c>
      <c r="J13" s="2">
        <v>2</v>
      </c>
      <c r="K13" s="4">
        <f t="shared" si="1"/>
        <v>4.0361538461538462</v>
      </c>
      <c r="L13" s="4">
        <f t="shared" si="2"/>
        <v>8.0723076923076924</v>
      </c>
      <c r="M13" s="7">
        <f t="shared" si="3"/>
        <v>10090.384615384615</v>
      </c>
      <c r="N13" s="8">
        <f t="shared" si="4"/>
        <v>19.23076923076923</v>
      </c>
      <c r="O13" s="8">
        <v>6</v>
      </c>
      <c r="P13" s="8">
        <f t="shared" si="5"/>
        <v>14.072307692307692</v>
      </c>
      <c r="Q13" s="3">
        <f t="shared" si="6"/>
        <v>7500</v>
      </c>
      <c r="R13" s="7">
        <f t="shared" si="7"/>
        <v>17590.384615384617</v>
      </c>
    </row>
    <row r="14" spans="1:18" x14ac:dyDescent="0.25">
      <c r="A14" s="2">
        <v>11</v>
      </c>
      <c r="B14" s="13" t="s">
        <v>77</v>
      </c>
      <c r="C14" s="3" t="s">
        <v>14</v>
      </c>
      <c r="D14" s="2" t="s">
        <v>49</v>
      </c>
      <c r="E14" s="3">
        <v>9702</v>
      </c>
      <c r="F14" s="2">
        <v>5390</v>
      </c>
      <c r="G14" s="2">
        <v>20</v>
      </c>
      <c r="H14" s="5">
        <f t="shared" si="0"/>
        <v>485.1</v>
      </c>
      <c r="I14" s="2">
        <v>140</v>
      </c>
      <c r="J14" s="2">
        <v>2</v>
      </c>
      <c r="K14" s="4">
        <f t="shared" si="1"/>
        <v>3.4650000000000003</v>
      </c>
      <c r="L14" s="4">
        <f t="shared" si="2"/>
        <v>6.9300000000000006</v>
      </c>
      <c r="M14" s="7">
        <f t="shared" si="3"/>
        <v>8662.5</v>
      </c>
      <c r="N14" s="8">
        <f t="shared" si="4"/>
        <v>17.857142857142858</v>
      </c>
      <c r="O14" s="8">
        <v>6</v>
      </c>
      <c r="P14" s="8">
        <f t="shared" si="5"/>
        <v>12.93</v>
      </c>
      <c r="Q14" s="3">
        <f t="shared" si="6"/>
        <v>7500</v>
      </c>
      <c r="R14" s="7">
        <f t="shared" si="7"/>
        <v>16162.5</v>
      </c>
    </row>
    <row r="15" spans="1:18" x14ac:dyDescent="0.25">
      <c r="A15" s="2">
        <v>12</v>
      </c>
      <c r="B15" s="14" t="s">
        <v>78</v>
      </c>
      <c r="C15" s="3" t="s">
        <v>19</v>
      </c>
      <c r="D15" s="2" t="s">
        <v>49</v>
      </c>
      <c r="E15" s="3">
        <v>7524</v>
      </c>
      <c r="F15" s="2">
        <v>4180</v>
      </c>
      <c r="G15" s="2">
        <v>20</v>
      </c>
      <c r="H15" s="5">
        <f t="shared" si="0"/>
        <v>376.2</v>
      </c>
      <c r="I15" s="2">
        <v>130</v>
      </c>
      <c r="J15" s="2">
        <v>2</v>
      </c>
      <c r="K15" s="4">
        <f t="shared" si="1"/>
        <v>2.893846153846154</v>
      </c>
      <c r="L15" s="4">
        <f t="shared" si="2"/>
        <v>5.7876923076923079</v>
      </c>
      <c r="M15" s="7">
        <f t="shared" si="3"/>
        <v>7234.6153846153848</v>
      </c>
      <c r="N15" s="8">
        <f t="shared" si="4"/>
        <v>19.23076923076923</v>
      </c>
      <c r="O15" s="8">
        <v>6</v>
      </c>
      <c r="P15" s="8">
        <f t="shared" si="5"/>
        <v>11.787692307692307</v>
      </c>
      <c r="Q15" s="3">
        <f t="shared" si="6"/>
        <v>7500</v>
      </c>
      <c r="R15" s="7">
        <f t="shared" si="7"/>
        <v>14734.615384615385</v>
      </c>
    </row>
    <row r="16" spans="1:18" x14ac:dyDescent="0.25">
      <c r="A16" s="2">
        <v>13</v>
      </c>
      <c r="B16" s="14" t="s">
        <v>78</v>
      </c>
      <c r="C16" s="3" t="s">
        <v>16</v>
      </c>
      <c r="D16" s="2" t="s">
        <v>49</v>
      </c>
      <c r="E16" s="3">
        <v>6570</v>
      </c>
      <c r="F16" s="2">
        <v>3650</v>
      </c>
      <c r="G16" s="2">
        <v>20</v>
      </c>
      <c r="H16" s="5">
        <f t="shared" si="0"/>
        <v>328.5</v>
      </c>
      <c r="I16" s="2">
        <v>120</v>
      </c>
      <c r="J16" s="2">
        <v>2</v>
      </c>
      <c r="K16" s="4">
        <f t="shared" si="1"/>
        <v>2.7374999999999998</v>
      </c>
      <c r="L16" s="4">
        <f t="shared" si="2"/>
        <v>5.4749999999999996</v>
      </c>
      <c r="M16" s="7">
        <f t="shared" si="3"/>
        <v>6843.75</v>
      </c>
      <c r="N16" s="8">
        <f t="shared" si="4"/>
        <v>20.833333333333332</v>
      </c>
      <c r="O16" s="8">
        <v>6</v>
      </c>
      <c r="P16" s="8">
        <f t="shared" si="5"/>
        <v>11.475</v>
      </c>
      <c r="Q16" s="3">
        <f t="shared" si="6"/>
        <v>7500</v>
      </c>
      <c r="R16" s="7">
        <f t="shared" si="7"/>
        <v>14343.75</v>
      </c>
    </row>
    <row r="17" spans="1:18" x14ac:dyDescent="0.25">
      <c r="A17" s="2">
        <v>14</v>
      </c>
      <c r="B17" s="14" t="s">
        <v>78</v>
      </c>
      <c r="C17" s="3" t="s">
        <v>17</v>
      </c>
      <c r="D17" s="2" t="s">
        <v>49</v>
      </c>
      <c r="E17" s="3">
        <v>6030</v>
      </c>
      <c r="F17" s="2">
        <v>3350</v>
      </c>
      <c r="G17" s="2">
        <v>20</v>
      </c>
      <c r="H17" s="5">
        <f t="shared" si="0"/>
        <v>301.5</v>
      </c>
      <c r="I17" s="2">
        <v>120</v>
      </c>
      <c r="J17" s="2">
        <v>2</v>
      </c>
      <c r="K17" s="4">
        <f t="shared" si="1"/>
        <v>2.5125000000000002</v>
      </c>
      <c r="L17" s="4">
        <f t="shared" si="2"/>
        <v>5.0250000000000004</v>
      </c>
      <c r="M17" s="7">
        <f t="shared" si="3"/>
        <v>6281.25</v>
      </c>
      <c r="N17" s="8">
        <f t="shared" si="4"/>
        <v>20.833333333333332</v>
      </c>
      <c r="O17" s="8">
        <v>6</v>
      </c>
      <c r="P17" s="8">
        <f t="shared" si="5"/>
        <v>11.025</v>
      </c>
      <c r="Q17" s="3">
        <f t="shared" si="6"/>
        <v>7500</v>
      </c>
      <c r="R17" s="7">
        <f t="shared" si="7"/>
        <v>13781.25</v>
      </c>
    </row>
    <row r="18" spans="1:18" x14ac:dyDescent="0.25">
      <c r="A18" s="2">
        <v>15</v>
      </c>
      <c r="B18" s="14" t="s">
        <v>78</v>
      </c>
      <c r="C18" s="3" t="s">
        <v>18</v>
      </c>
      <c r="D18" s="2" t="s">
        <v>49</v>
      </c>
      <c r="E18" s="3">
        <v>4374</v>
      </c>
      <c r="F18" s="2">
        <v>2430</v>
      </c>
      <c r="G18" s="2">
        <v>20</v>
      </c>
      <c r="H18" s="5">
        <f t="shared" si="0"/>
        <v>218.7</v>
      </c>
      <c r="I18" s="2">
        <v>120</v>
      </c>
      <c r="J18" s="2">
        <v>2</v>
      </c>
      <c r="K18" s="4">
        <f t="shared" si="1"/>
        <v>1.8225</v>
      </c>
      <c r="L18" s="4">
        <f t="shared" si="2"/>
        <v>3.645</v>
      </c>
      <c r="M18" s="7">
        <f t="shared" si="3"/>
        <v>4556.25</v>
      </c>
      <c r="N18" s="8">
        <f t="shared" si="4"/>
        <v>20.833333333333332</v>
      </c>
      <c r="O18" s="8">
        <v>6</v>
      </c>
      <c r="P18" s="8">
        <f t="shared" si="5"/>
        <v>9.6449999999999996</v>
      </c>
      <c r="Q18" s="3">
        <f t="shared" si="6"/>
        <v>7500</v>
      </c>
      <c r="R18" s="7">
        <f t="shared" si="7"/>
        <v>12056.25</v>
      </c>
    </row>
    <row r="19" spans="1:18" x14ac:dyDescent="0.25">
      <c r="A19" s="2">
        <v>16</v>
      </c>
      <c r="B19" s="12" t="s">
        <v>77</v>
      </c>
      <c r="C19" s="3" t="s">
        <v>47</v>
      </c>
      <c r="D19" s="2" t="s">
        <v>49</v>
      </c>
      <c r="E19" s="3">
        <v>3094</v>
      </c>
      <c r="F19" s="2">
        <v>1719</v>
      </c>
      <c r="G19" s="2">
        <v>4</v>
      </c>
      <c r="H19" s="5">
        <f>E19/G19</f>
        <v>773.5</v>
      </c>
      <c r="I19" s="2">
        <v>55</v>
      </c>
      <c r="J19" s="2">
        <v>3</v>
      </c>
      <c r="K19" s="4">
        <f>H19/I19</f>
        <v>14.063636363636364</v>
      </c>
      <c r="L19" s="4">
        <f>J19*K19</f>
        <v>42.190909090909095</v>
      </c>
      <c r="M19" s="7">
        <f>L19*F$2</f>
        <v>52738.636363636368</v>
      </c>
      <c r="N19" s="8">
        <f>F$2/(I19/J19)</f>
        <v>68.181818181818187</v>
      </c>
      <c r="O19" s="8">
        <v>6</v>
      </c>
      <c r="P19" s="8">
        <f>L19+O19</f>
        <v>48.190909090909095</v>
      </c>
      <c r="Q19" s="3">
        <f>O19*F$2</f>
        <v>7500</v>
      </c>
      <c r="R19" s="7">
        <f>M19+Q19</f>
        <v>60238.636363636368</v>
      </c>
    </row>
    <row r="20" spans="1:18" x14ac:dyDescent="0.25">
      <c r="A20" s="2">
        <v>17</v>
      </c>
      <c r="B20" s="13" t="s">
        <v>77</v>
      </c>
      <c r="C20" s="3" t="s">
        <v>33</v>
      </c>
      <c r="D20" s="2" t="s">
        <v>51</v>
      </c>
      <c r="E20" s="3">
        <v>9558</v>
      </c>
      <c r="F20" s="2">
        <v>5310</v>
      </c>
      <c r="G20" s="2">
        <v>20</v>
      </c>
      <c r="H20" s="5">
        <f t="shared" si="0"/>
        <v>477.9</v>
      </c>
      <c r="I20" s="2">
        <v>35</v>
      </c>
      <c r="J20" s="2">
        <v>3</v>
      </c>
      <c r="K20" s="4">
        <f t="shared" si="1"/>
        <v>13.654285714285713</v>
      </c>
      <c r="L20" s="4">
        <f t="shared" si="2"/>
        <v>40.962857142857139</v>
      </c>
      <c r="M20" s="7">
        <f t="shared" si="3"/>
        <v>51203.57142857142</v>
      </c>
      <c r="N20" s="8">
        <f t="shared" si="4"/>
        <v>107.14285714285715</v>
      </c>
      <c r="O20" s="8">
        <v>6</v>
      </c>
      <c r="P20" s="8">
        <f t="shared" si="5"/>
        <v>46.962857142857139</v>
      </c>
      <c r="Q20" s="3">
        <f t="shared" si="6"/>
        <v>7500</v>
      </c>
      <c r="R20" s="7">
        <f t="shared" si="7"/>
        <v>58703.57142857142</v>
      </c>
    </row>
    <row r="21" spans="1:18" x14ac:dyDescent="0.25">
      <c r="A21" s="2">
        <v>18</v>
      </c>
      <c r="B21" s="13" t="s">
        <v>77</v>
      </c>
      <c r="C21" s="3" t="s">
        <v>34</v>
      </c>
      <c r="D21" s="2" t="s">
        <v>51</v>
      </c>
      <c r="E21" s="3">
        <v>10403</v>
      </c>
      <c r="F21" s="2">
        <v>5265</v>
      </c>
      <c r="G21" s="2">
        <v>20</v>
      </c>
      <c r="H21" s="5">
        <f t="shared" si="0"/>
        <v>520.15</v>
      </c>
      <c r="I21" s="2">
        <v>35</v>
      </c>
      <c r="J21" s="2">
        <v>3</v>
      </c>
      <c r="K21" s="4">
        <f t="shared" si="1"/>
        <v>14.86142857142857</v>
      </c>
      <c r="L21" s="4">
        <f t="shared" si="2"/>
        <v>44.584285714285713</v>
      </c>
      <c r="M21" s="7">
        <f t="shared" si="3"/>
        <v>55730.357142857138</v>
      </c>
      <c r="N21" s="8">
        <f t="shared" si="4"/>
        <v>107.14285714285715</v>
      </c>
      <c r="O21" s="8">
        <v>6</v>
      </c>
      <c r="P21" s="8">
        <f t="shared" si="5"/>
        <v>50.584285714285713</v>
      </c>
      <c r="Q21" s="3">
        <f t="shared" si="6"/>
        <v>7500</v>
      </c>
      <c r="R21" s="7">
        <f t="shared" si="7"/>
        <v>63230.357142857138</v>
      </c>
    </row>
    <row r="22" spans="1:18" x14ac:dyDescent="0.25">
      <c r="A22" s="2">
        <v>19</v>
      </c>
      <c r="B22" s="13" t="s">
        <v>77</v>
      </c>
      <c r="C22" s="3" t="s">
        <v>35</v>
      </c>
      <c r="D22" s="2" t="s">
        <v>51</v>
      </c>
      <c r="E22" s="3">
        <v>6786</v>
      </c>
      <c r="F22" s="2">
        <v>3770</v>
      </c>
      <c r="G22" s="2">
        <v>20</v>
      </c>
      <c r="H22" s="5">
        <f t="shared" si="0"/>
        <v>339.3</v>
      </c>
      <c r="I22" s="2">
        <v>45</v>
      </c>
      <c r="J22" s="2">
        <v>3</v>
      </c>
      <c r="K22" s="4">
        <f t="shared" si="1"/>
        <v>7.54</v>
      </c>
      <c r="L22" s="4">
        <f t="shared" si="2"/>
        <v>22.62</v>
      </c>
      <c r="M22" s="7">
        <f t="shared" si="3"/>
        <v>28275</v>
      </c>
      <c r="N22" s="8">
        <f t="shared" si="4"/>
        <v>83.333333333333329</v>
      </c>
      <c r="O22" s="8">
        <v>6</v>
      </c>
      <c r="P22" s="8">
        <f t="shared" si="5"/>
        <v>28.62</v>
      </c>
      <c r="Q22" s="3">
        <f t="shared" si="6"/>
        <v>7500</v>
      </c>
      <c r="R22" s="7">
        <f t="shared" si="7"/>
        <v>35775</v>
      </c>
    </row>
    <row r="23" spans="1:18" x14ac:dyDescent="0.25">
      <c r="A23" s="2">
        <v>20</v>
      </c>
      <c r="B23" s="15" t="s">
        <v>71</v>
      </c>
      <c r="C23" s="3" t="s">
        <v>36</v>
      </c>
      <c r="D23" s="2" t="s">
        <v>52</v>
      </c>
      <c r="E23" s="3">
        <v>6300</v>
      </c>
      <c r="F23" s="2">
        <v>3500</v>
      </c>
      <c r="G23" s="2">
        <v>20</v>
      </c>
      <c r="H23" s="5">
        <f t="shared" si="0"/>
        <v>315</v>
      </c>
      <c r="I23" s="2">
        <v>110</v>
      </c>
      <c r="J23" s="2">
        <v>1</v>
      </c>
      <c r="K23" s="4">
        <f t="shared" si="1"/>
        <v>2.8636363636363638</v>
      </c>
      <c r="L23" s="4">
        <f t="shared" si="2"/>
        <v>2.8636363636363638</v>
      </c>
      <c r="M23" s="7">
        <f t="shared" si="3"/>
        <v>3579.5454545454545</v>
      </c>
      <c r="N23" s="8">
        <f t="shared" si="4"/>
        <v>11.363636363636363</v>
      </c>
      <c r="O23" s="8">
        <v>2</v>
      </c>
      <c r="P23" s="8">
        <f t="shared" si="5"/>
        <v>4.8636363636363633</v>
      </c>
      <c r="Q23" s="3">
        <f t="shared" si="6"/>
        <v>2500</v>
      </c>
      <c r="R23" s="7">
        <f t="shared" si="7"/>
        <v>6079.545454545454</v>
      </c>
    </row>
    <row r="24" spans="1:18" x14ac:dyDescent="0.25">
      <c r="A24" s="2">
        <v>21</v>
      </c>
      <c r="B24" s="15" t="s">
        <v>71</v>
      </c>
      <c r="C24" s="3" t="s">
        <v>37</v>
      </c>
      <c r="D24" s="2" t="s">
        <v>52</v>
      </c>
      <c r="E24" s="3">
        <v>5814</v>
      </c>
      <c r="F24" s="2">
        <v>3230</v>
      </c>
      <c r="G24" s="2">
        <v>20</v>
      </c>
      <c r="H24" s="5">
        <f t="shared" si="0"/>
        <v>290.7</v>
      </c>
      <c r="I24" s="2">
        <v>100</v>
      </c>
      <c r="J24" s="2">
        <v>1</v>
      </c>
      <c r="K24" s="4">
        <f t="shared" si="1"/>
        <v>2.907</v>
      </c>
      <c r="L24" s="4">
        <f t="shared" si="2"/>
        <v>2.907</v>
      </c>
      <c r="M24" s="7">
        <f t="shared" si="3"/>
        <v>3633.75</v>
      </c>
      <c r="N24" s="8">
        <f t="shared" si="4"/>
        <v>12.5</v>
      </c>
      <c r="O24" s="8">
        <v>2</v>
      </c>
      <c r="P24" s="8">
        <f t="shared" si="5"/>
        <v>4.907</v>
      </c>
      <c r="Q24" s="3">
        <f t="shared" si="6"/>
        <v>2500</v>
      </c>
      <c r="R24" s="7">
        <f t="shared" si="7"/>
        <v>6133.75</v>
      </c>
    </row>
    <row r="25" spans="1:18" x14ac:dyDescent="0.25">
      <c r="A25" s="2">
        <v>22</v>
      </c>
      <c r="B25" s="17" t="s">
        <v>77</v>
      </c>
      <c r="C25" s="3" t="s">
        <v>38</v>
      </c>
      <c r="D25" s="2" t="s">
        <v>52</v>
      </c>
      <c r="E25" s="3">
        <v>4788</v>
      </c>
      <c r="F25" s="2">
        <v>2660</v>
      </c>
      <c r="G25" s="2">
        <v>20</v>
      </c>
      <c r="H25" s="5">
        <f t="shared" si="0"/>
        <v>239.4</v>
      </c>
      <c r="I25" s="2">
        <v>110</v>
      </c>
      <c r="J25" s="2">
        <v>1</v>
      </c>
      <c r="K25" s="4">
        <f t="shared" si="1"/>
        <v>2.1763636363636363</v>
      </c>
      <c r="L25" s="4">
        <f t="shared" si="2"/>
        <v>2.1763636363636363</v>
      </c>
      <c r="M25" s="7">
        <f t="shared" si="3"/>
        <v>2720.4545454545455</v>
      </c>
      <c r="N25" s="8">
        <f t="shared" si="4"/>
        <v>11.363636363636363</v>
      </c>
      <c r="O25" s="8">
        <v>2</v>
      </c>
      <c r="P25" s="8">
        <f t="shared" si="5"/>
        <v>4.1763636363636358</v>
      </c>
      <c r="Q25" s="3">
        <f t="shared" si="6"/>
        <v>2500</v>
      </c>
      <c r="R25" s="7">
        <f t="shared" si="7"/>
        <v>5220.454545454546</v>
      </c>
    </row>
    <row r="26" spans="1:18" x14ac:dyDescent="0.25">
      <c r="A26" s="2">
        <v>23</v>
      </c>
      <c r="B26" s="17" t="s">
        <v>77</v>
      </c>
      <c r="C26" s="3" t="s">
        <v>46</v>
      </c>
      <c r="D26" s="2" t="s">
        <v>52</v>
      </c>
      <c r="E26" s="3">
        <v>4162</v>
      </c>
      <c r="F26" s="2">
        <v>2280</v>
      </c>
      <c r="G26" s="2">
        <v>20</v>
      </c>
      <c r="H26" s="5">
        <f t="shared" si="0"/>
        <v>208.1</v>
      </c>
      <c r="I26" s="2">
        <v>110</v>
      </c>
      <c r="J26" s="2">
        <v>1</v>
      </c>
      <c r="K26" s="4">
        <f>H26/I26</f>
        <v>1.8918181818181818</v>
      </c>
      <c r="L26" s="4">
        <f t="shared" si="2"/>
        <v>1.8918181818181818</v>
      </c>
      <c r="M26" s="7">
        <f t="shared" si="3"/>
        <v>2364.7727272727275</v>
      </c>
      <c r="N26" s="8">
        <f t="shared" si="4"/>
        <v>11.363636363636363</v>
      </c>
      <c r="O26" s="8">
        <v>2</v>
      </c>
      <c r="P26" s="8">
        <f t="shared" si="5"/>
        <v>3.8918181818181816</v>
      </c>
      <c r="Q26" s="3">
        <f t="shared" si="6"/>
        <v>2500</v>
      </c>
      <c r="R26" s="7">
        <f t="shared" si="7"/>
        <v>4864.7727272727279</v>
      </c>
    </row>
    <row r="27" spans="1:18" x14ac:dyDescent="0.25">
      <c r="A27" s="2">
        <v>24</v>
      </c>
      <c r="B27" s="16" t="s">
        <v>78</v>
      </c>
      <c r="C27" s="3" t="s">
        <v>39</v>
      </c>
      <c r="D27" s="2" t="s">
        <v>52</v>
      </c>
      <c r="E27" s="3">
        <v>3852</v>
      </c>
      <c r="F27" s="2">
        <v>2140</v>
      </c>
      <c r="G27" s="2">
        <v>20</v>
      </c>
      <c r="H27" s="5">
        <f t="shared" si="0"/>
        <v>192.6</v>
      </c>
      <c r="I27" s="2">
        <v>160</v>
      </c>
      <c r="J27" s="2">
        <v>1</v>
      </c>
      <c r="K27" s="4">
        <f t="shared" si="1"/>
        <v>1.2037499999999999</v>
      </c>
      <c r="L27" s="4">
        <f t="shared" si="2"/>
        <v>1.2037499999999999</v>
      </c>
      <c r="M27" s="7">
        <f t="shared" si="3"/>
        <v>1504.6874999999998</v>
      </c>
      <c r="N27" s="8">
        <f t="shared" si="4"/>
        <v>7.8125</v>
      </c>
      <c r="O27" s="8">
        <v>2</v>
      </c>
      <c r="P27" s="8">
        <f t="shared" si="5"/>
        <v>3.2037499999999999</v>
      </c>
      <c r="Q27" s="3">
        <f t="shared" si="6"/>
        <v>2500</v>
      </c>
      <c r="R27" s="7">
        <f t="shared" si="7"/>
        <v>4004.6875</v>
      </c>
    </row>
    <row r="28" spans="1:18" x14ac:dyDescent="0.25">
      <c r="A28" s="2">
        <v>25</v>
      </c>
      <c r="B28" s="16" t="s">
        <v>78</v>
      </c>
      <c r="C28" s="3" t="s">
        <v>40</v>
      </c>
      <c r="D28" s="2" t="s">
        <v>52</v>
      </c>
      <c r="E28" s="3">
        <v>3690</v>
      </c>
      <c r="F28" s="2">
        <v>2050</v>
      </c>
      <c r="G28" s="2">
        <v>20</v>
      </c>
      <c r="H28" s="5">
        <f t="shared" si="0"/>
        <v>184.5</v>
      </c>
      <c r="I28" s="2">
        <v>130</v>
      </c>
      <c r="J28" s="2">
        <v>1</v>
      </c>
      <c r="K28" s="4">
        <f t="shared" si="1"/>
        <v>1.4192307692307693</v>
      </c>
      <c r="L28" s="4">
        <f t="shared" si="2"/>
        <v>1.4192307692307693</v>
      </c>
      <c r="M28" s="7">
        <f t="shared" si="3"/>
        <v>1774.0384615384617</v>
      </c>
      <c r="N28" s="8">
        <f t="shared" si="4"/>
        <v>9.615384615384615</v>
      </c>
      <c r="O28" s="8">
        <v>2</v>
      </c>
      <c r="P28" s="8">
        <f t="shared" si="5"/>
        <v>3.4192307692307695</v>
      </c>
      <c r="Q28" s="3">
        <f t="shared" si="6"/>
        <v>2500</v>
      </c>
      <c r="R28" s="7">
        <f t="shared" si="7"/>
        <v>4274.0384615384619</v>
      </c>
    </row>
    <row r="29" spans="1:18" x14ac:dyDescent="0.25">
      <c r="A29" s="2">
        <v>26</v>
      </c>
      <c r="B29" s="16" t="s">
        <v>78</v>
      </c>
      <c r="C29" s="3" t="s">
        <v>41</v>
      </c>
      <c r="D29" s="2" t="s">
        <v>52</v>
      </c>
      <c r="E29" s="3">
        <v>3822</v>
      </c>
      <c r="F29" s="2">
        <v>1860</v>
      </c>
      <c r="G29" s="2">
        <v>20</v>
      </c>
      <c r="H29" s="5">
        <f t="shared" si="0"/>
        <v>191.1</v>
      </c>
      <c r="I29" s="2">
        <v>130</v>
      </c>
      <c r="J29" s="2">
        <v>1</v>
      </c>
      <c r="K29" s="4">
        <f t="shared" si="1"/>
        <v>1.47</v>
      </c>
      <c r="L29" s="4">
        <f t="shared" si="2"/>
        <v>1.47</v>
      </c>
      <c r="M29" s="7">
        <f t="shared" si="3"/>
        <v>1837.5</v>
      </c>
      <c r="N29" s="8">
        <f t="shared" si="4"/>
        <v>9.615384615384615</v>
      </c>
      <c r="O29" s="8">
        <v>2</v>
      </c>
      <c r="P29" s="8">
        <f t="shared" si="5"/>
        <v>3.4699999999999998</v>
      </c>
      <c r="Q29" s="3">
        <f t="shared" si="6"/>
        <v>2500</v>
      </c>
      <c r="R29" s="7">
        <f t="shared" si="7"/>
        <v>4337.5</v>
      </c>
    </row>
    <row r="30" spans="1:18" x14ac:dyDescent="0.25">
      <c r="A30" s="2">
        <v>27</v>
      </c>
      <c r="B30" s="16" t="s">
        <v>78</v>
      </c>
      <c r="C30" s="3" t="s">
        <v>42</v>
      </c>
      <c r="D30" s="2" t="s">
        <v>52</v>
      </c>
      <c r="E30" s="3">
        <v>3168</v>
      </c>
      <c r="F30" s="2">
        <v>1760</v>
      </c>
      <c r="G30" s="2">
        <v>20</v>
      </c>
      <c r="H30" s="5">
        <f t="shared" si="0"/>
        <v>158.4</v>
      </c>
      <c r="I30" s="2">
        <v>130</v>
      </c>
      <c r="J30" s="2">
        <v>1</v>
      </c>
      <c r="K30" s="4">
        <f t="shared" si="1"/>
        <v>1.2184615384615385</v>
      </c>
      <c r="L30" s="4">
        <f t="shared" si="2"/>
        <v>1.2184615384615385</v>
      </c>
      <c r="M30" s="7">
        <f t="shared" si="3"/>
        <v>1523.0769230769231</v>
      </c>
      <c r="N30" s="8">
        <f t="shared" si="4"/>
        <v>9.615384615384615</v>
      </c>
      <c r="O30" s="8">
        <v>2</v>
      </c>
      <c r="P30" s="8">
        <f t="shared" si="5"/>
        <v>3.2184615384615385</v>
      </c>
      <c r="Q30" s="3">
        <f t="shared" si="6"/>
        <v>2500</v>
      </c>
      <c r="R30" s="7">
        <f t="shared" si="7"/>
        <v>4023.0769230769229</v>
      </c>
    </row>
    <row r="42" spans="11:11" x14ac:dyDescent="0.25">
      <c r="K42" t="s">
        <v>65</v>
      </c>
    </row>
  </sheetData>
  <autoFilter ref="C3:Q30" xr:uid="{00000000-0001-0000-0000-000000000000}"/>
  <pageMargins left="0.7" right="0.7" top="0.75" bottom="0.75" header="0.3" footer="0.3"/>
  <pageSetup scale="95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18F94-8704-4564-B628-F478D4C6DC99}">
  <dimension ref="A2:R36"/>
  <sheetViews>
    <sheetView tabSelected="1" topLeftCell="A6" workbookViewId="0">
      <selection activeCell="B21" sqref="B21"/>
    </sheetView>
  </sheetViews>
  <sheetFormatPr defaultRowHeight="15" x14ac:dyDescent="0.25"/>
  <cols>
    <col min="1" max="1" width="7.140625" style="1" customWidth="1"/>
    <col min="2" max="2" width="17" style="1" customWidth="1"/>
    <col min="3" max="3" width="44.42578125" bestFit="1" customWidth="1"/>
    <col min="4" max="4" width="9.5703125" style="1" customWidth="1"/>
    <col min="5" max="5" width="11.28515625" customWidth="1"/>
    <col min="6" max="6" width="10.5703125" style="1" customWidth="1"/>
    <col min="7" max="7" width="12.42578125" style="1" customWidth="1"/>
    <col min="8" max="8" width="15" style="1" customWidth="1"/>
    <col min="9" max="9" width="14.5703125" style="1" customWidth="1"/>
    <col min="10" max="10" width="13.28515625" style="1" customWidth="1"/>
    <col min="11" max="11" width="15" customWidth="1"/>
    <col min="12" max="12" width="13.85546875" style="1" customWidth="1"/>
    <col min="13" max="13" width="19.28515625" customWidth="1"/>
    <col min="14" max="14" width="18.5703125" customWidth="1"/>
    <col min="15" max="15" width="12.7109375" customWidth="1"/>
    <col min="16" max="16" width="16" customWidth="1"/>
    <col min="17" max="17" width="17.85546875" customWidth="1"/>
    <col min="18" max="18" width="15.85546875" customWidth="1"/>
  </cols>
  <sheetData>
    <row r="2" spans="1:18" x14ac:dyDescent="0.25">
      <c r="A2" s="2" t="s">
        <v>56</v>
      </c>
      <c r="B2" s="2"/>
      <c r="C2" s="3" t="s">
        <v>55</v>
      </c>
      <c r="D2" s="6">
        <v>500</v>
      </c>
      <c r="E2" s="10">
        <v>3.5</v>
      </c>
      <c r="F2" s="2">
        <f>D2*E2</f>
        <v>1750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ht="30" customHeight="1" x14ac:dyDescent="0.25">
      <c r="A3" s="2" t="s">
        <v>0</v>
      </c>
      <c r="B3" s="2" t="s">
        <v>79</v>
      </c>
      <c r="C3" s="3" t="s">
        <v>1</v>
      </c>
      <c r="D3" s="2" t="s">
        <v>48</v>
      </c>
      <c r="E3" s="3" t="s">
        <v>45</v>
      </c>
      <c r="F3" s="2" t="s">
        <v>2</v>
      </c>
      <c r="G3" s="2" t="s">
        <v>3</v>
      </c>
      <c r="H3" s="9" t="s">
        <v>43</v>
      </c>
      <c r="I3" s="2" t="s">
        <v>4</v>
      </c>
      <c r="J3" s="9" t="s">
        <v>57</v>
      </c>
      <c r="K3" s="9" t="s">
        <v>58</v>
      </c>
      <c r="L3" s="9" t="s">
        <v>44</v>
      </c>
      <c r="M3" s="9" t="s">
        <v>60</v>
      </c>
      <c r="N3" s="9" t="s">
        <v>59</v>
      </c>
      <c r="O3" s="2" t="s">
        <v>62</v>
      </c>
      <c r="P3" s="9" t="s">
        <v>64</v>
      </c>
      <c r="Q3" s="9" t="s">
        <v>61</v>
      </c>
      <c r="R3" s="2" t="s">
        <v>63</v>
      </c>
    </row>
    <row r="4" spans="1:18" x14ac:dyDescent="0.25">
      <c r="A4" s="2">
        <v>1</v>
      </c>
      <c r="B4" s="18" t="s">
        <v>71</v>
      </c>
      <c r="C4" s="3" t="s">
        <v>20</v>
      </c>
      <c r="D4" s="2" t="s">
        <v>50</v>
      </c>
      <c r="E4" s="3">
        <v>21292</v>
      </c>
      <c r="F4" s="2">
        <v>11829</v>
      </c>
      <c r="G4" s="2">
        <v>20</v>
      </c>
      <c r="H4" s="5">
        <f t="shared" ref="H4:H24" si="0">E4/G4</f>
        <v>1064.5999999999999</v>
      </c>
      <c r="I4" s="2">
        <v>280</v>
      </c>
      <c r="J4" s="2">
        <v>2</v>
      </c>
      <c r="K4" s="4">
        <f t="shared" ref="K4:K24" si="1">H4/I4</f>
        <v>3.8021428571428566</v>
      </c>
      <c r="L4" s="4">
        <f t="shared" ref="L4:L24" si="2">J4*K4</f>
        <v>7.6042857142857132</v>
      </c>
      <c r="M4" s="7">
        <f t="shared" ref="M4:M24" si="3">L4*F$2</f>
        <v>13307.499999999998</v>
      </c>
      <c r="N4" s="8">
        <f t="shared" ref="N4:N24" si="4">F$2/(I4/J4)</f>
        <v>12.5</v>
      </c>
      <c r="O4" s="8">
        <v>8</v>
      </c>
      <c r="P4" s="8">
        <f t="shared" ref="P4:P24" si="5">L4+O4</f>
        <v>15.604285714285712</v>
      </c>
      <c r="Q4" s="3">
        <f t="shared" ref="Q4:Q24" si="6">O4*F$2</f>
        <v>14000</v>
      </c>
      <c r="R4" s="7">
        <f t="shared" ref="R4:R24" si="7">M4+Q4</f>
        <v>27307.5</v>
      </c>
    </row>
    <row r="5" spans="1:18" x14ac:dyDescent="0.25">
      <c r="A5" s="2">
        <v>2</v>
      </c>
      <c r="B5" s="18" t="s">
        <v>71</v>
      </c>
      <c r="C5" s="3" t="s">
        <v>21</v>
      </c>
      <c r="D5" s="2" t="s">
        <v>50</v>
      </c>
      <c r="E5" s="3">
        <v>19098</v>
      </c>
      <c r="F5" s="2">
        <v>10610</v>
      </c>
      <c r="G5" s="2">
        <v>20</v>
      </c>
      <c r="H5" s="5">
        <f t="shared" si="0"/>
        <v>954.9</v>
      </c>
      <c r="I5" s="2">
        <v>280</v>
      </c>
      <c r="J5" s="2">
        <v>2</v>
      </c>
      <c r="K5" s="4">
        <f t="shared" si="1"/>
        <v>3.4103571428571429</v>
      </c>
      <c r="L5" s="4">
        <f t="shared" si="2"/>
        <v>6.8207142857142857</v>
      </c>
      <c r="M5" s="7">
        <f t="shared" si="3"/>
        <v>11936.25</v>
      </c>
      <c r="N5" s="8">
        <f t="shared" si="4"/>
        <v>12.5</v>
      </c>
      <c r="O5" s="8">
        <v>8</v>
      </c>
      <c r="P5" s="8">
        <f t="shared" si="5"/>
        <v>14.820714285714285</v>
      </c>
      <c r="Q5" s="3">
        <f t="shared" si="6"/>
        <v>14000</v>
      </c>
      <c r="R5" s="7">
        <f t="shared" si="7"/>
        <v>25936.25</v>
      </c>
    </row>
    <row r="6" spans="1:18" x14ac:dyDescent="0.25">
      <c r="A6" s="2">
        <v>3</v>
      </c>
      <c r="B6" s="19" t="s">
        <v>71</v>
      </c>
      <c r="C6" s="3" t="s">
        <v>22</v>
      </c>
      <c r="D6" s="2" t="s">
        <v>50</v>
      </c>
      <c r="E6" s="3">
        <v>16956</v>
      </c>
      <c r="F6" s="2">
        <v>9420</v>
      </c>
      <c r="G6" s="2">
        <v>20</v>
      </c>
      <c r="H6" s="5">
        <f t="shared" si="0"/>
        <v>847.8</v>
      </c>
      <c r="I6" s="2">
        <v>210</v>
      </c>
      <c r="J6" s="2">
        <v>2</v>
      </c>
      <c r="K6" s="4">
        <f t="shared" si="1"/>
        <v>4.0371428571428574</v>
      </c>
      <c r="L6" s="4">
        <f t="shared" si="2"/>
        <v>8.0742857142857147</v>
      </c>
      <c r="M6" s="7">
        <f t="shared" si="3"/>
        <v>14130</v>
      </c>
      <c r="N6" s="8">
        <f t="shared" si="4"/>
        <v>16.666666666666668</v>
      </c>
      <c r="O6" s="8">
        <v>8</v>
      </c>
      <c r="P6" s="8">
        <f t="shared" si="5"/>
        <v>16.074285714285715</v>
      </c>
      <c r="Q6" s="3">
        <f t="shared" si="6"/>
        <v>14000</v>
      </c>
      <c r="R6" s="7">
        <f t="shared" si="7"/>
        <v>28130</v>
      </c>
    </row>
    <row r="7" spans="1:18" x14ac:dyDescent="0.25">
      <c r="A7" s="2">
        <v>4</v>
      </c>
      <c r="B7" s="20" t="s">
        <v>77</v>
      </c>
      <c r="C7" s="3" t="s">
        <v>23</v>
      </c>
      <c r="D7" s="2" t="s">
        <v>50</v>
      </c>
      <c r="E7" s="3">
        <v>13689</v>
      </c>
      <c r="F7" s="2">
        <v>7605</v>
      </c>
      <c r="G7" s="2">
        <v>20</v>
      </c>
      <c r="H7" s="5">
        <f t="shared" si="0"/>
        <v>684.45</v>
      </c>
      <c r="I7" s="2">
        <v>260</v>
      </c>
      <c r="J7" s="2">
        <v>2</v>
      </c>
      <c r="K7" s="4">
        <f t="shared" si="1"/>
        <v>2.6325000000000003</v>
      </c>
      <c r="L7" s="4">
        <f t="shared" si="2"/>
        <v>5.2650000000000006</v>
      </c>
      <c r="M7" s="7">
        <f t="shared" si="3"/>
        <v>9213.7500000000018</v>
      </c>
      <c r="N7" s="8">
        <f t="shared" si="4"/>
        <v>13.461538461538462</v>
      </c>
      <c r="O7" s="8">
        <v>8</v>
      </c>
      <c r="P7" s="8">
        <f t="shared" si="5"/>
        <v>13.265000000000001</v>
      </c>
      <c r="Q7" s="3">
        <f t="shared" si="6"/>
        <v>14000</v>
      </c>
      <c r="R7" s="7">
        <f t="shared" si="7"/>
        <v>23213.75</v>
      </c>
    </row>
    <row r="8" spans="1:18" x14ac:dyDescent="0.25">
      <c r="A8" s="2">
        <v>5</v>
      </c>
      <c r="B8" s="21" t="s">
        <v>77</v>
      </c>
      <c r="C8" s="3" t="s">
        <v>24</v>
      </c>
      <c r="D8" s="2" t="s">
        <v>50</v>
      </c>
      <c r="E8" s="3">
        <v>10512</v>
      </c>
      <c r="F8" s="2">
        <v>5840</v>
      </c>
      <c r="G8" s="2">
        <v>20</v>
      </c>
      <c r="H8" s="5">
        <f t="shared" si="0"/>
        <v>525.6</v>
      </c>
      <c r="I8" s="2">
        <v>250</v>
      </c>
      <c r="J8" s="2">
        <v>2</v>
      </c>
      <c r="K8" s="4">
        <f t="shared" si="1"/>
        <v>2.1024000000000003</v>
      </c>
      <c r="L8" s="4">
        <f t="shared" si="2"/>
        <v>4.2048000000000005</v>
      </c>
      <c r="M8" s="7">
        <f t="shared" si="3"/>
        <v>7358.4000000000005</v>
      </c>
      <c r="N8" s="8">
        <f t="shared" si="4"/>
        <v>14</v>
      </c>
      <c r="O8" s="8">
        <v>8</v>
      </c>
      <c r="P8" s="8">
        <f t="shared" si="5"/>
        <v>12.204800000000001</v>
      </c>
      <c r="Q8" s="3">
        <f t="shared" si="6"/>
        <v>14000</v>
      </c>
      <c r="R8" s="7">
        <f t="shared" si="7"/>
        <v>21358.400000000001</v>
      </c>
    </row>
    <row r="9" spans="1:18" x14ac:dyDescent="0.25">
      <c r="A9" s="2">
        <v>6</v>
      </c>
      <c r="B9" s="22" t="s">
        <v>78</v>
      </c>
      <c r="C9" s="3" t="s">
        <v>25</v>
      </c>
      <c r="D9" s="2" t="s">
        <v>50</v>
      </c>
      <c r="E9" s="3">
        <v>6246</v>
      </c>
      <c r="F9" s="2">
        <v>3470</v>
      </c>
      <c r="G9" s="2">
        <v>20</v>
      </c>
      <c r="H9" s="5">
        <f t="shared" si="0"/>
        <v>312.3</v>
      </c>
      <c r="I9" s="2">
        <v>260</v>
      </c>
      <c r="J9" s="2">
        <v>2</v>
      </c>
      <c r="K9" s="4">
        <f t="shared" si="1"/>
        <v>1.2011538461538462</v>
      </c>
      <c r="L9" s="4">
        <f t="shared" si="2"/>
        <v>2.4023076923076925</v>
      </c>
      <c r="M9" s="7">
        <f t="shared" si="3"/>
        <v>4204.0384615384619</v>
      </c>
      <c r="N9" s="8">
        <f t="shared" si="4"/>
        <v>13.461538461538462</v>
      </c>
      <c r="O9" s="8">
        <v>8</v>
      </c>
      <c r="P9" s="8">
        <f t="shared" si="5"/>
        <v>10.402307692307692</v>
      </c>
      <c r="Q9" s="3">
        <f t="shared" si="6"/>
        <v>14000</v>
      </c>
      <c r="R9" s="7">
        <f t="shared" si="7"/>
        <v>18204.038461538461</v>
      </c>
    </row>
    <row r="10" spans="1:18" x14ac:dyDescent="0.25">
      <c r="A10" s="2">
        <v>7</v>
      </c>
      <c r="B10" s="23" t="s">
        <v>78</v>
      </c>
      <c r="C10" s="3" t="s">
        <v>26</v>
      </c>
      <c r="D10" s="2" t="s">
        <v>50</v>
      </c>
      <c r="E10" s="3">
        <v>5274</v>
      </c>
      <c r="F10" s="2">
        <v>2930</v>
      </c>
      <c r="G10" s="2">
        <v>20</v>
      </c>
      <c r="H10" s="5">
        <f t="shared" si="0"/>
        <v>263.7</v>
      </c>
      <c r="I10" s="2">
        <v>260</v>
      </c>
      <c r="J10" s="2">
        <v>2</v>
      </c>
      <c r="K10" s="4">
        <f t="shared" si="1"/>
        <v>1.0142307692307693</v>
      </c>
      <c r="L10" s="4">
        <f t="shared" si="2"/>
        <v>2.0284615384615385</v>
      </c>
      <c r="M10" s="7">
        <f t="shared" si="3"/>
        <v>3549.8076923076924</v>
      </c>
      <c r="N10" s="8">
        <f t="shared" si="4"/>
        <v>13.461538461538462</v>
      </c>
      <c r="O10" s="8">
        <v>8</v>
      </c>
      <c r="P10" s="8">
        <f t="shared" si="5"/>
        <v>10.028461538461539</v>
      </c>
      <c r="Q10" s="3">
        <f t="shared" si="6"/>
        <v>14000</v>
      </c>
      <c r="R10" s="7">
        <f t="shared" si="7"/>
        <v>17549.807692307691</v>
      </c>
    </row>
    <row r="11" spans="1:18" x14ac:dyDescent="0.25">
      <c r="A11" s="2">
        <v>8</v>
      </c>
      <c r="B11" s="23" t="s">
        <v>78</v>
      </c>
      <c r="C11" s="3" t="s">
        <v>27</v>
      </c>
      <c r="D11" s="2" t="s">
        <v>50</v>
      </c>
      <c r="E11" s="3">
        <v>3726</v>
      </c>
      <c r="F11" s="2">
        <v>2070</v>
      </c>
      <c r="G11" s="2">
        <v>20</v>
      </c>
      <c r="H11" s="5">
        <f t="shared" si="0"/>
        <v>186.3</v>
      </c>
      <c r="I11" s="2">
        <v>190</v>
      </c>
      <c r="J11" s="2">
        <v>2</v>
      </c>
      <c r="K11" s="4">
        <f t="shared" si="1"/>
        <v>0.98052631578947369</v>
      </c>
      <c r="L11" s="4">
        <f t="shared" si="2"/>
        <v>1.9610526315789474</v>
      </c>
      <c r="M11" s="7">
        <f t="shared" si="3"/>
        <v>3431.8421052631579</v>
      </c>
      <c r="N11" s="8">
        <f t="shared" si="4"/>
        <v>18.421052631578949</v>
      </c>
      <c r="O11" s="8">
        <v>8</v>
      </c>
      <c r="P11" s="8">
        <f t="shared" si="5"/>
        <v>9.9610526315789478</v>
      </c>
      <c r="Q11" s="3">
        <f t="shared" si="6"/>
        <v>14000</v>
      </c>
      <c r="R11" s="7">
        <f t="shared" si="7"/>
        <v>17431.842105263157</v>
      </c>
    </row>
    <row r="12" spans="1:18" x14ac:dyDescent="0.25">
      <c r="A12" s="2">
        <v>9</v>
      </c>
      <c r="B12" s="23" t="s">
        <v>78</v>
      </c>
      <c r="C12" s="3" t="s">
        <v>28</v>
      </c>
      <c r="D12" s="2" t="s">
        <v>50</v>
      </c>
      <c r="E12" s="3">
        <v>3289</v>
      </c>
      <c r="F12" s="2">
        <v>1827</v>
      </c>
      <c r="G12" s="2">
        <v>20</v>
      </c>
      <c r="H12" s="5">
        <f t="shared" si="0"/>
        <v>164.45</v>
      </c>
      <c r="I12" s="2">
        <v>190</v>
      </c>
      <c r="J12" s="2">
        <v>2</v>
      </c>
      <c r="K12" s="4">
        <f t="shared" si="1"/>
        <v>0.86552631578947359</v>
      </c>
      <c r="L12" s="4">
        <f t="shared" si="2"/>
        <v>1.7310526315789472</v>
      </c>
      <c r="M12" s="7">
        <f t="shared" si="3"/>
        <v>3029.3421052631575</v>
      </c>
      <c r="N12" s="8">
        <f t="shared" si="4"/>
        <v>18.421052631578949</v>
      </c>
      <c r="O12" s="8">
        <v>8</v>
      </c>
      <c r="P12" s="8">
        <f t="shared" si="5"/>
        <v>9.7310526315789474</v>
      </c>
      <c r="Q12" s="3">
        <f t="shared" si="6"/>
        <v>14000</v>
      </c>
      <c r="R12" s="7">
        <f t="shared" si="7"/>
        <v>17029.342105263157</v>
      </c>
    </row>
    <row r="13" spans="1:18" x14ac:dyDescent="0.25">
      <c r="A13" s="2">
        <v>10</v>
      </c>
      <c r="B13" s="13" t="s">
        <v>77</v>
      </c>
      <c r="C13" s="3" t="s">
        <v>66</v>
      </c>
      <c r="D13" s="2" t="s">
        <v>51</v>
      </c>
      <c r="E13" s="3">
        <v>6786</v>
      </c>
      <c r="F13" s="2">
        <v>3770</v>
      </c>
      <c r="G13" s="2">
        <v>20</v>
      </c>
      <c r="H13" s="5">
        <f t="shared" si="0"/>
        <v>339.3</v>
      </c>
      <c r="I13" s="2">
        <v>195</v>
      </c>
      <c r="J13" s="2">
        <v>2</v>
      </c>
      <c r="K13" s="4">
        <f t="shared" si="1"/>
        <v>1.74</v>
      </c>
      <c r="L13" s="4">
        <f t="shared" si="2"/>
        <v>3.48</v>
      </c>
      <c r="M13" s="7">
        <f t="shared" si="3"/>
        <v>6090</v>
      </c>
      <c r="N13" s="8">
        <f t="shared" si="4"/>
        <v>17.948717948717949</v>
      </c>
      <c r="O13" s="8">
        <v>4</v>
      </c>
      <c r="P13" s="8">
        <f t="shared" si="5"/>
        <v>7.48</v>
      </c>
      <c r="Q13" s="3">
        <f t="shared" si="6"/>
        <v>7000</v>
      </c>
      <c r="R13" s="7">
        <f t="shared" si="7"/>
        <v>13090</v>
      </c>
    </row>
    <row r="14" spans="1:18" x14ac:dyDescent="0.25">
      <c r="A14" s="2">
        <v>11</v>
      </c>
      <c r="B14" s="15" t="s">
        <v>71</v>
      </c>
      <c r="C14" s="3" t="s">
        <v>36</v>
      </c>
      <c r="D14" s="2" t="s">
        <v>52</v>
      </c>
      <c r="E14" s="3">
        <v>6300</v>
      </c>
      <c r="F14" s="2">
        <v>3500</v>
      </c>
      <c r="G14" s="2">
        <v>20</v>
      </c>
      <c r="H14" s="5">
        <f t="shared" si="0"/>
        <v>315</v>
      </c>
      <c r="I14" s="2">
        <v>110</v>
      </c>
      <c r="J14" s="2">
        <v>2</v>
      </c>
      <c r="K14" s="4">
        <f t="shared" si="1"/>
        <v>2.8636363636363638</v>
      </c>
      <c r="L14" s="4">
        <f t="shared" si="2"/>
        <v>5.7272727272727275</v>
      </c>
      <c r="M14" s="7">
        <f t="shared" si="3"/>
        <v>10022.727272727274</v>
      </c>
      <c r="N14" s="8">
        <f t="shared" si="4"/>
        <v>31.818181818181817</v>
      </c>
      <c r="O14" s="8">
        <v>2</v>
      </c>
      <c r="P14" s="8">
        <f t="shared" si="5"/>
        <v>7.7272727272727275</v>
      </c>
      <c r="Q14" s="3">
        <f t="shared" si="6"/>
        <v>3500</v>
      </c>
      <c r="R14" s="7">
        <f t="shared" si="7"/>
        <v>13522.727272727274</v>
      </c>
    </row>
    <row r="15" spans="1:18" x14ac:dyDescent="0.25">
      <c r="A15" s="2">
        <v>12</v>
      </c>
      <c r="B15" s="17" t="s">
        <v>77</v>
      </c>
      <c r="C15" s="3" t="s">
        <v>38</v>
      </c>
      <c r="D15" s="2" t="s">
        <v>52</v>
      </c>
      <c r="E15" s="3">
        <v>4788</v>
      </c>
      <c r="F15" s="2">
        <v>2660</v>
      </c>
      <c r="G15" s="2">
        <v>20</v>
      </c>
      <c r="H15" s="5">
        <f t="shared" si="0"/>
        <v>239.4</v>
      </c>
      <c r="I15" s="2">
        <v>110</v>
      </c>
      <c r="J15" s="2">
        <v>2</v>
      </c>
      <c r="K15" s="4">
        <f t="shared" si="1"/>
        <v>2.1763636363636363</v>
      </c>
      <c r="L15" s="4">
        <f t="shared" si="2"/>
        <v>4.3527272727272726</v>
      </c>
      <c r="M15" s="7">
        <f t="shared" si="3"/>
        <v>7617.272727272727</v>
      </c>
      <c r="N15" s="8">
        <f t="shared" si="4"/>
        <v>31.818181818181817</v>
      </c>
      <c r="O15" s="8">
        <v>2</v>
      </c>
      <c r="P15" s="8">
        <f t="shared" si="5"/>
        <v>6.3527272727272726</v>
      </c>
      <c r="Q15" s="3">
        <f t="shared" si="6"/>
        <v>3500</v>
      </c>
      <c r="R15" s="7">
        <f t="shared" si="7"/>
        <v>11117.272727272728</v>
      </c>
    </row>
    <row r="16" spans="1:18" x14ac:dyDescent="0.25">
      <c r="A16" s="2">
        <v>13</v>
      </c>
      <c r="B16" s="17" t="s">
        <v>77</v>
      </c>
      <c r="C16" s="3" t="s">
        <v>46</v>
      </c>
      <c r="D16" s="2" t="s">
        <v>52</v>
      </c>
      <c r="E16" s="3">
        <v>4162</v>
      </c>
      <c r="F16" s="2">
        <v>2280</v>
      </c>
      <c r="G16" s="2">
        <v>20</v>
      </c>
      <c r="H16" s="5">
        <f t="shared" si="0"/>
        <v>208.1</v>
      </c>
      <c r="I16" s="2">
        <v>110</v>
      </c>
      <c r="J16" s="2">
        <v>2</v>
      </c>
      <c r="K16" s="4">
        <f>H16/I16</f>
        <v>1.8918181818181818</v>
      </c>
      <c r="L16" s="4">
        <f t="shared" si="2"/>
        <v>3.7836363636363637</v>
      </c>
      <c r="M16" s="7">
        <f t="shared" si="3"/>
        <v>6621.363636363636</v>
      </c>
      <c r="N16" s="8">
        <f t="shared" si="4"/>
        <v>31.818181818181817</v>
      </c>
      <c r="O16" s="8">
        <v>2</v>
      </c>
      <c r="P16" s="8">
        <f t="shared" si="5"/>
        <v>5.7836363636363632</v>
      </c>
      <c r="Q16" s="3">
        <f t="shared" si="6"/>
        <v>3500</v>
      </c>
      <c r="R16" s="7">
        <f t="shared" si="7"/>
        <v>10121.363636363636</v>
      </c>
    </row>
    <row r="17" spans="1:18" x14ac:dyDescent="0.25">
      <c r="A17" s="2">
        <v>14</v>
      </c>
      <c r="B17" s="16" t="s">
        <v>78</v>
      </c>
      <c r="C17" s="3" t="s">
        <v>39</v>
      </c>
      <c r="D17" s="2" t="s">
        <v>52</v>
      </c>
      <c r="E17" s="3">
        <v>3852</v>
      </c>
      <c r="F17" s="2">
        <v>2140</v>
      </c>
      <c r="G17" s="2">
        <v>20</v>
      </c>
      <c r="H17" s="5">
        <f t="shared" si="0"/>
        <v>192.6</v>
      </c>
      <c r="I17" s="2">
        <v>160</v>
      </c>
      <c r="J17" s="2">
        <v>2</v>
      </c>
      <c r="K17" s="4">
        <f t="shared" si="1"/>
        <v>1.2037499999999999</v>
      </c>
      <c r="L17" s="4">
        <f t="shared" si="2"/>
        <v>2.4074999999999998</v>
      </c>
      <c r="M17" s="7">
        <f t="shared" si="3"/>
        <v>4213.125</v>
      </c>
      <c r="N17" s="8">
        <f t="shared" si="4"/>
        <v>21.875</v>
      </c>
      <c r="O17" s="8">
        <v>2</v>
      </c>
      <c r="P17" s="8">
        <f t="shared" si="5"/>
        <v>4.4074999999999998</v>
      </c>
      <c r="Q17" s="3">
        <f t="shared" si="6"/>
        <v>3500</v>
      </c>
      <c r="R17" s="7">
        <f t="shared" si="7"/>
        <v>7713.125</v>
      </c>
    </row>
    <row r="18" spans="1:18" x14ac:dyDescent="0.25">
      <c r="A18" s="2">
        <v>15</v>
      </c>
      <c r="B18" s="16" t="s">
        <v>78</v>
      </c>
      <c r="C18" s="3" t="s">
        <v>40</v>
      </c>
      <c r="D18" s="2" t="s">
        <v>52</v>
      </c>
      <c r="E18" s="3">
        <v>3690</v>
      </c>
      <c r="F18" s="2">
        <v>2050</v>
      </c>
      <c r="G18" s="2">
        <v>20</v>
      </c>
      <c r="H18" s="5">
        <f t="shared" si="0"/>
        <v>184.5</v>
      </c>
      <c r="I18" s="2">
        <v>130</v>
      </c>
      <c r="J18" s="2">
        <v>2</v>
      </c>
      <c r="K18" s="4">
        <f t="shared" si="1"/>
        <v>1.4192307692307693</v>
      </c>
      <c r="L18" s="4">
        <f t="shared" si="2"/>
        <v>2.8384615384615386</v>
      </c>
      <c r="M18" s="7">
        <f t="shared" si="3"/>
        <v>4967.3076923076924</v>
      </c>
      <c r="N18" s="8">
        <f t="shared" si="4"/>
        <v>26.923076923076923</v>
      </c>
      <c r="O18" s="8">
        <v>2</v>
      </c>
      <c r="P18" s="8">
        <f t="shared" si="5"/>
        <v>4.838461538461539</v>
      </c>
      <c r="Q18" s="3">
        <f t="shared" si="6"/>
        <v>3500</v>
      </c>
      <c r="R18" s="7">
        <f t="shared" si="7"/>
        <v>8467.3076923076915</v>
      </c>
    </row>
    <row r="19" spans="1:18" x14ac:dyDescent="0.25">
      <c r="A19" s="2">
        <v>16</v>
      </c>
      <c r="B19" s="16" t="s">
        <v>78</v>
      </c>
      <c r="C19" s="3" t="s">
        <v>41</v>
      </c>
      <c r="D19" s="2" t="s">
        <v>52</v>
      </c>
      <c r="E19" s="3">
        <v>3822</v>
      </c>
      <c r="F19" s="2">
        <v>1860</v>
      </c>
      <c r="G19" s="2">
        <v>20</v>
      </c>
      <c r="H19" s="5">
        <f t="shared" si="0"/>
        <v>191.1</v>
      </c>
      <c r="I19" s="2">
        <v>130</v>
      </c>
      <c r="J19" s="2">
        <v>2</v>
      </c>
      <c r="K19" s="4">
        <f t="shared" si="1"/>
        <v>1.47</v>
      </c>
      <c r="L19" s="4">
        <f t="shared" si="2"/>
        <v>2.94</v>
      </c>
      <c r="M19" s="7">
        <f t="shared" si="3"/>
        <v>5145</v>
      </c>
      <c r="N19" s="8">
        <f t="shared" si="4"/>
        <v>26.923076923076923</v>
      </c>
      <c r="O19" s="8">
        <v>2</v>
      </c>
      <c r="P19" s="8">
        <f t="shared" si="5"/>
        <v>4.9399999999999995</v>
      </c>
      <c r="Q19" s="3">
        <f t="shared" si="6"/>
        <v>3500</v>
      </c>
      <c r="R19" s="7">
        <f t="shared" si="7"/>
        <v>8645</v>
      </c>
    </row>
    <row r="20" spans="1:18" x14ac:dyDescent="0.25">
      <c r="A20" s="2">
        <v>17</v>
      </c>
      <c r="B20" s="16" t="s">
        <v>78</v>
      </c>
      <c r="C20" s="3" t="s">
        <v>42</v>
      </c>
      <c r="D20" s="2" t="s">
        <v>52</v>
      </c>
      <c r="E20" s="3">
        <v>3168</v>
      </c>
      <c r="F20" s="2">
        <v>1760</v>
      </c>
      <c r="G20" s="2">
        <v>20</v>
      </c>
      <c r="H20" s="5">
        <f t="shared" si="0"/>
        <v>158.4</v>
      </c>
      <c r="I20" s="2">
        <v>130</v>
      </c>
      <c r="J20" s="2">
        <v>2</v>
      </c>
      <c r="K20" s="4">
        <f t="shared" si="1"/>
        <v>1.2184615384615385</v>
      </c>
      <c r="L20" s="4">
        <f t="shared" si="2"/>
        <v>2.436923076923077</v>
      </c>
      <c r="M20" s="7">
        <f t="shared" si="3"/>
        <v>4264.6153846153848</v>
      </c>
      <c r="N20" s="8">
        <f t="shared" si="4"/>
        <v>26.923076923076923</v>
      </c>
      <c r="O20" s="8">
        <v>2</v>
      </c>
      <c r="P20" s="8">
        <f t="shared" si="5"/>
        <v>4.436923076923077</v>
      </c>
      <c r="Q20" s="3">
        <f t="shared" si="6"/>
        <v>3500</v>
      </c>
      <c r="R20" s="7">
        <f t="shared" si="7"/>
        <v>7764.6153846153848</v>
      </c>
    </row>
    <row r="21" spans="1:18" x14ac:dyDescent="0.25">
      <c r="A21" s="2">
        <v>18</v>
      </c>
      <c r="C21" s="3" t="s">
        <v>29</v>
      </c>
      <c r="D21" s="2" t="s">
        <v>53</v>
      </c>
      <c r="E21" s="3">
        <v>2160</v>
      </c>
      <c r="F21" s="2">
        <v>1200</v>
      </c>
      <c r="G21" s="2">
        <v>40</v>
      </c>
      <c r="H21" s="5">
        <f t="shared" si="0"/>
        <v>54</v>
      </c>
      <c r="I21" s="2">
        <v>24</v>
      </c>
      <c r="J21" s="2">
        <v>2</v>
      </c>
      <c r="K21" s="4">
        <f t="shared" si="1"/>
        <v>2.25</v>
      </c>
      <c r="L21" s="4">
        <f t="shared" si="2"/>
        <v>4.5</v>
      </c>
      <c r="M21" s="7">
        <f t="shared" si="3"/>
        <v>7875</v>
      </c>
      <c r="N21" s="8">
        <f t="shared" si="4"/>
        <v>145.83333333333334</v>
      </c>
      <c r="O21" s="8">
        <v>4</v>
      </c>
      <c r="P21" s="8">
        <f t="shared" si="5"/>
        <v>8.5</v>
      </c>
      <c r="Q21" s="3">
        <f t="shared" si="6"/>
        <v>7000</v>
      </c>
      <c r="R21" s="7">
        <f t="shared" si="7"/>
        <v>14875</v>
      </c>
    </row>
    <row r="22" spans="1:18" x14ac:dyDescent="0.25">
      <c r="A22" s="2">
        <v>19</v>
      </c>
      <c r="B22" s="2"/>
      <c r="C22" s="3" t="s">
        <v>30</v>
      </c>
      <c r="D22" s="2" t="s">
        <v>53</v>
      </c>
      <c r="E22" s="3">
        <v>1613</v>
      </c>
      <c r="F22" s="2">
        <v>896</v>
      </c>
      <c r="G22" s="2">
        <v>40</v>
      </c>
      <c r="H22" s="5">
        <f t="shared" si="0"/>
        <v>40.325000000000003</v>
      </c>
      <c r="I22" s="2">
        <v>24</v>
      </c>
      <c r="J22" s="2">
        <v>2</v>
      </c>
      <c r="K22" s="4">
        <f t="shared" si="1"/>
        <v>1.6802083333333335</v>
      </c>
      <c r="L22" s="4">
        <f t="shared" si="2"/>
        <v>3.3604166666666671</v>
      </c>
      <c r="M22" s="7">
        <f t="shared" si="3"/>
        <v>5880.729166666667</v>
      </c>
      <c r="N22" s="8">
        <f t="shared" si="4"/>
        <v>145.83333333333334</v>
      </c>
      <c r="O22" s="8">
        <v>4</v>
      </c>
      <c r="P22" s="8">
        <f t="shared" si="5"/>
        <v>7.3604166666666675</v>
      </c>
      <c r="Q22" s="3">
        <f t="shared" si="6"/>
        <v>7000</v>
      </c>
      <c r="R22" s="7">
        <f t="shared" si="7"/>
        <v>12880.729166666668</v>
      </c>
    </row>
    <row r="23" spans="1:18" x14ac:dyDescent="0.25">
      <c r="A23" s="2">
        <v>20</v>
      </c>
      <c r="B23" s="2"/>
      <c r="C23" s="3" t="s">
        <v>31</v>
      </c>
      <c r="D23" s="2" t="s">
        <v>54</v>
      </c>
      <c r="E23" s="3">
        <v>1853</v>
      </c>
      <c r="F23" s="2">
        <v>1035</v>
      </c>
      <c r="G23" s="2">
        <v>20</v>
      </c>
      <c r="H23" s="5">
        <f t="shared" si="0"/>
        <v>92.65</v>
      </c>
      <c r="I23" s="2">
        <v>110</v>
      </c>
      <c r="J23" s="2">
        <v>2</v>
      </c>
      <c r="K23" s="4">
        <f t="shared" si="1"/>
        <v>0.84227272727272728</v>
      </c>
      <c r="L23" s="4">
        <f t="shared" si="2"/>
        <v>1.6845454545454546</v>
      </c>
      <c r="M23" s="7">
        <f t="shared" si="3"/>
        <v>2947.9545454545455</v>
      </c>
      <c r="N23" s="8">
        <f t="shared" si="4"/>
        <v>31.818181818181817</v>
      </c>
      <c r="O23" s="8">
        <v>3</v>
      </c>
      <c r="P23" s="8">
        <f t="shared" si="5"/>
        <v>4.6845454545454546</v>
      </c>
      <c r="Q23" s="3">
        <f t="shared" si="6"/>
        <v>5250</v>
      </c>
      <c r="R23" s="7">
        <f t="shared" si="7"/>
        <v>8197.954545454546</v>
      </c>
    </row>
    <row r="24" spans="1:18" x14ac:dyDescent="0.25">
      <c r="A24" s="2">
        <v>21</v>
      </c>
      <c r="B24" s="2"/>
      <c r="C24" s="3" t="s">
        <v>32</v>
      </c>
      <c r="D24" s="2" t="s">
        <v>53</v>
      </c>
      <c r="E24" s="3">
        <v>2052</v>
      </c>
      <c r="F24" s="2">
        <v>1140</v>
      </c>
      <c r="G24" s="2">
        <v>20</v>
      </c>
      <c r="H24" s="5">
        <f t="shared" si="0"/>
        <v>102.6</v>
      </c>
      <c r="I24" s="2">
        <v>41</v>
      </c>
      <c r="J24" s="2">
        <v>2</v>
      </c>
      <c r="K24" s="4">
        <f t="shared" si="1"/>
        <v>2.5024390243902439</v>
      </c>
      <c r="L24" s="4">
        <f t="shared" si="2"/>
        <v>5.0048780487804878</v>
      </c>
      <c r="M24" s="7">
        <f t="shared" si="3"/>
        <v>8758.5365853658532</v>
      </c>
      <c r="N24" s="8">
        <f t="shared" si="4"/>
        <v>85.365853658536579</v>
      </c>
      <c r="O24" s="8">
        <v>4</v>
      </c>
      <c r="P24" s="8">
        <f t="shared" si="5"/>
        <v>9.0048780487804869</v>
      </c>
      <c r="Q24" s="3">
        <f t="shared" si="6"/>
        <v>7000</v>
      </c>
      <c r="R24" s="7">
        <f t="shared" si="7"/>
        <v>15758.536585365853</v>
      </c>
    </row>
    <row r="36" spans="11:11" x14ac:dyDescent="0.25">
      <c r="K36" t="s">
        <v>65</v>
      </c>
    </row>
  </sheetData>
  <autoFilter ref="A3:R24" xr:uid="{B8F18F94-8704-4564-B628-F478D4C6DC99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02922-855B-43CB-9581-CD5982A86ECB}">
  <dimension ref="A2:F18"/>
  <sheetViews>
    <sheetView workbookViewId="0">
      <selection activeCell="H8" sqref="H8"/>
    </sheetView>
  </sheetViews>
  <sheetFormatPr defaultRowHeight="15" x14ac:dyDescent="0.25"/>
  <cols>
    <col min="1" max="1" width="7.140625" style="1" customWidth="1"/>
    <col min="2" max="2" width="31.7109375" bestFit="1" customWidth="1"/>
    <col min="3" max="3" width="9.140625" style="1" customWidth="1"/>
    <col min="5" max="5" width="28.140625" customWidth="1"/>
    <col min="6" max="6" width="9.140625" style="1"/>
  </cols>
  <sheetData>
    <row r="2" spans="1:6" ht="30" x14ac:dyDescent="0.25">
      <c r="A2" s="2" t="s">
        <v>0</v>
      </c>
      <c r="B2" s="3" t="s">
        <v>1</v>
      </c>
      <c r="C2" s="2" t="s">
        <v>48</v>
      </c>
      <c r="D2" s="9" t="s">
        <v>57</v>
      </c>
      <c r="E2" s="3" t="s">
        <v>68</v>
      </c>
      <c r="F2" s="9" t="s">
        <v>57</v>
      </c>
    </row>
    <row r="3" spans="1:6" x14ac:dyDescent="0.25">
      <c r="A3" s="2">
        <v>1</v>
      </c>
      <c r="B3" s="3" t="s">
        <v>5</v>
      </c>
      <c r="C3" s="2" t="s">
        <v>49</v>
      </c>
      <c r="D3" s="2">
        <v>2</v>
      </c>
      <c r="E3" s="3" t="s">
        <v>34</v>
      </c>
      <c r="F3" s="2">
        <v>1</v>
      </c>
    </row>
    <row r="4" spans="1:6" x14ac:dyDescent="0.25">
      <c r="A4" s="2">
        <v>2</v>
      </c>
      <c r="B4" s="3" t="s">
        <v>6</v>
      </c>
      <c r="C4" s="2" t="s">
        <v>49</v>
      </c>
      <c r="D4" s="2">
        <v>2</v>
      </c>
      <c r="E4" s="3" t="s">
        <v>34</v>
      </c>
      <c r="F4" s="2">
        <v>1</v>
      </c>
    </row>
    <row r="5" spans="1:6" x14ac:dyDescent="0.25">
      <c r="A5" s="2">
        <v>3</v>
      </c>
      <c r="B5" s="3" t="s">
        <v>7</v>
      </c>
      <c r="C5" s="2" t="s">
        <v>49</v>
      </c>
      <c r="D5" s="2">
        <v>2</v>
      </c>
      <c r="E5" s="3" t="s">
        <v>34</v>
      </c>
      <c r="F5" s="2">
        <v>1</v>
      </c>
    </row>
    <row r="6" spans="1:6" x14ac:dyDescent="0.25">
      <c r="A6" s="2">
        <v>4</v>
      </c>
      <c r="B6" s="3" t="s">
        <v>8</v>
      </c>
      <c r="C6" s="2" t="s">
        <v>49</v>
      </c>
      <c r="D6" s="2">
        <v>2</v>
      </c>
      <c r="E6" s="3" t="s">
        <v>34</v>
      </c>
      <c r="F6" s="2">
        <v>1</v>
      </c>
    </row>
    <row r="7" spans="1:6" x14ac:dyDescent="0.25">
      <c r="A7" s="2">
        <v>5</v>
      </c>
      <c r="B7" s="3" t="s">
        <v>10</v>
      </c>
      <c r="C7" s="2" t="s">
        <v>49</v>
      </c>
      <c r="D7" s="2">
        <v>2</v>
      </c>
      <c r="E7" s="3" t="s">
        <v>36</v>
      </c>
      <c r="F7" s="2">
        <v>1</v>
      </c>
    </row>
    <row r="8" spans="1:6" x14ac:dyDescent="0.25">
      <c r="A8" s="2">
        <v>6</v>
      </c>
      <c r="B8" s="3" t="s">
        <v>9</v>
      </c>
      <c r="C8" s="2" t="s">
        <v>49</v>
      </c>
      <c r="D8" s="2">
        <v>2</v>
      </c>
      <c r="E8" s="3" t="s">
        <v>36</v>
      </c>
      <c r="F8" s="2">
        <v>1</v>
      </c>
    </row>
    <row r="9" spans="1:6" x14ac:dyDescent="0.25">
      <c r="A9" s="2">
        <v>7</v>
      </c>
      <c r="B9" s="3" t="s">
        <v>15</v>
      </c>
      <c r="C9" s="2" t="s">
        <v>49</v>
      </c>
      <c r="D9" s="2">
        <v>2</v>
      </c>
      <c r="E9" s="3" t="s">
        <v>36</v>
      </c>
      <c r="F9" s="2">
        <v>1</v>
      </c>
    </row>
    <row r="10" spans="1:6" x14ac:dyDescent="0.25">
      <c r="A10" s="2">
        <v>8</v>
      </c>
      <c r="B10" s="3" t="s">
        <v>11</v>
      </c>
      <c r="C10" s="2" t="s">
        <v>49</v>
      </c>
      <c r="D10" s="2">
        <v>2</v>
      </c>
      <c r="E10" s="3" t="s">
        <v>36</v>
      </c>
      <c r="F10" s="2">
        <v>1</v>
      </c>
    </row>
    <row r="11" spans="1:6" x14ac:dyDescent="0.25">
      <c r="A11" s="2">
        <v>9</v>
      </c>
      <c r="B11" s="3" t="s">
        <v>12</v>
      </c>
      <c r="C11" s="2" t="s">
        <v>49</v>
      </c>
      <c r="D11" s="2">
        <v>2</v>
      </c>
      <c r="E11" s="3" t="s">
        <v>36</v>
      </c>
      <c r="F11" s="2">
        <v>1</v>
      </c>
    </row>
    <row r="12" spans="1:6" x14ac:dyDescent="0.25">
      <c r="A12" s="2">
        <v>10</v>
      </c>
      <c r="B12" s="3" t="s">
        <v>13</v>
      </c>
      <c r="C12" s="2" t="s">
        <v>49</v>
      </c>
      <c r="D12" s="2">
        <v>2</v>
      </c>
      <c r="E12" s="3" t="s">
        <v>36</v>
      </c>
      <c r="F12" s="2">
        <v>1</v>
      </c>
    </row>
    <row r="13" spans="1:6" x14ac:dyDescent="0.25">
      <c r="A13" s="2">
        <v>11</v>
      </c>
      <c r="B13" s="3" t="s">
        <v>14</v>
      </c>
      <c r="C13" s="2" t="s">
        <v>49</v>
      </c>
      <c r="D13" s="2">
        <v>2</v>
      </c>
      <c r="E13" s="3" t="s">
        <v>36</v>
      </c>
      <c r="F13" s="2">
        <v>1</v>
      </c>
    </row>
    <row r="14" spans="1:6" x14ac:dyDescent="0.25">
      <c r="A14" s="2">
        <v>12</v>
      </c>
      <c r="B14" s="3" t="s">
        <v>19</v>
      </c>
      <c r="C14" s="2" t="s">
        <v>49</v>
      </c>
      <c r="D14" s="2">
        <v>2</v>
      </c>
      <c r="E14" s="3" t="s">
        <v>46</v>
      </c>
      <c r="F14" s="2">
        <v>1</v>
      </c>
    </row>
    <row r="15" spans="1:6" x14ac:dyDescent="0.25">
      <c r="A15" s="2">
        <v>13</v>
      </c>
      <c r="B15" s="3" t="s">
        <v>16</v>
      </c>
      <c r="C15" s="2" t="s">
        <v>49</v>
      </c>
      <c r="D15" s="2">
        <v>2</v>
      </c>
      <c r="E15" s="3" t="s">
        <v>46</v>
      </c>
      <c r="F15" s="2">
        <v>1</v>
      </c>
    </row>
    <row r="16" spans="1:6" x14ac:dyDescent="0.25">
      <c r="A16" s="2">
        <v>14</v>
      </c>
      <c r="B16" s="3" t="s">
        <v>17</v>
      </c>
      <c r="C16" s="2" t="s">
        <v>49</v>
      </c>
      <c r="D16" s="2">
        <v>2</v>
      </c>
      <c r="E16" s="3" t="s">
        <v>41</v>
      </c>
      <c r="F16" s="2">
        <v>1</v>
      </c>
    </row>
    <row r="17" spans="1:6" x14ac:dyDescent="0.25">
      <c r="A17" s="2">
        <v>15</v>
      </c>
      <c r="B17" s="3" t="s">
        <v>18</v>
      </c>
      <c r="C17" s="2" t="s">
        <v>49</v>
      </c>
      <c r="D17" s="2">
        <v>2</v>
      </c>
      <c r="E17" s="3" t="s">
        <v>41</v>
      </c>
      <c r="F17" s="2">
        <v>1</v>
      </c>
    </row>
    <row r="18" spans="1:6" x14ac:dyDescent="0.25">
      <c r="A18" s="2">
        <v>16</v>
      </c>
      <c r="B18" s="3" t="s">
        <v>47</v>
      </c>
      <c r="C18" s="2" t="s">
        <v>49</v>
      </c>
      <c r="D18" s="2">
        <v>3</v>
      </c>
      <c r="E18" s="3" t="s">
        <v>69</v>
      </c>
      <c r="F18" s="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AC86E-9A12-4461-9D05-30226DA2367E}">
  <dimension ref="A2:H11"/>
  <sheetViews>
    <sheetView workbookViewId="0">
      <selection activeCell="D5" sqref="D5"/>
    </sheetView>
  </sheetViews>
  <sheetFormatPr defaultRowHeight="15" x14ac:dyDescent="0.25"/>
  <cols>
    <col min="2" max="2" width="23.85546875" customWidth="1"/>
    <col min="5" max="5" width="26" bestFit="1" customWidth="1"/>
    <col min="6" max="6" width="8.28515625" customWidth="1"/>
    <col min="7" max="7" width="44.42578125" bestFit="1" customWidth="1"/>
  </cols>
  <sheetData>
    <row r="2" spans="1:8" ht="30" x14ac:dyDescent="0.25">
      <c r="A2" s="2" t="s">
        <v>0</v>
      </c>
      <c r="B2" s="3" t="s">
        <v>1</v>
      </c>
      <c r="C2" s="2" t="s">
        <v>48</v>
      </c>
      <c r="D2" s="9" t="s">
        <v>57</v>
      </c>
      <c r="E2" s="3" t="s">
        <v>70</v>
      </c>
      <c r="F2" s="9" t="s">
        <v>57</v>
      </c>
      <c r="G2" s="3" t="s">
        <v>67</v>
      </c>
      <c r="H2" s="9" t="s">
        <v>57</v>
      </c>
    </row>
    <row r="3" spans="1:8" x14ac:dyDescent="0.25">
      <c r="A3" s="2">
        <v>1</v>
      </c>
      <c r="B3" s="3" t="s">
        <v>20</v>
      </c>
      <c r="C3" s="2" t="s">
        <v>50</v>
      </c>
      <c r="D3" s="2">
        <v>2</v>
      </c>
      <c r="E3" s="3" t="s">
        <v>32</v>
      </c>
      <c r="F3" s="2">
        <v>2</v>
      </c>
      <c r="G3" s="3" t="s">
        <v>66</v>
      </c>
      <c r="H3" s="2">
        <v>2</v>
      </c>
    </row>
    <row r="4" spans="1:8" x14ac:dyDescent="0.25">
      <c r="A4" s="2">
        <v>2</v>
      </c>
      <c r="B4" s="3" t="s">
        <v>21</v>
      </c>
      <c r="C4" s="2" t="s">
        <v>50</v>
      </c>
      <c r="D4" s="2">
        <v>2</v>
      </c>
      <c r="E4" s="3" t="s">
        <v>32</v>
      </c>
      <c r="F4" s="2">
        <v>2</v>
      </c>
      <c r="G4" s="3" t="s">
        <v>66</v>
      </c>
      <c r="H4" s="2">
        <v>2</v>
      </c>
    </row>
    <row r="5" spans="1:8" x14ac:dyDescent="0.25">
      <c r="A5" s="2">
        <v>3</v>
      </c>
      <c r="B5" s="3" t="s">
        <v>22</v>
      </c>
      <c r="C5" s="2" t="s">
        <v>50</v>
      </c>
      <c r="D5" s="2">
        <v>2</v>
      </c>
      <c r="E5" s="3" t="s">
        <v>32</v>
      </c>
      <c r="F5" s="2">
        <v>2</v>
      </c>
      <c r="G5" s="3" t="s">
        <v>66</v>
      </c>
      <c r="H5" s="2">
        <v>2</v>
      </c>
    </row>
    <row r="6" spans="1:8" x14ac:dyDescent="0.25">
      <c r="A6" s="2">
        <v>4</v>
      </c>
      <c r="B6" s="3" t="s">
        <v>23</v>
      </c>
      <c r="C6" s="2" t="s">
        <v>50</v>
      </c>
      <c r="D6" s="2">
        <v>2</v>
      </c>
      <c r="E6" s="3" t="s">
        <v>32</v>
      </c>
      <c r="F6" s="2">
        <v>2</v>
      </c>
      <c r="G6" s="3" t="s">
        <v>66</v>
      </c>
      <c r="H6" s="2">
        <v>2</v>
      </c>
    </row>
    <row r="7" spans="1:8" x14ac:dyDescent="0.25">
      <c r="A7" s="2">
        <v>5</v>
      </c>
      <c r="B7" s="3" t="s">
        <v>24</v>
      </c>
      <c r="C7" s="2" t="s">
        <v>50</v>
      </c>
      <c r="D7" s="2">
        <v>2</v>
      </c>
      <c r="E7" s="3" t="s">
        <v>30</v>
      </c>
      <c r="F7" s="2">
        <v>2</v>
      </c>
      <c r="G7" s="3" t="s">
        <v>40</v>
      </c>
      <c r="H7" s="2">
        <v>2</v>
      </c>
    </row>
    <row r="8" spans="1:8" x14ac:dyDescent="0.25">
      <c r="A8" s="2">
        <v>6</v>
      </c>
      <c r="B8" s="3" t="s">
        <v>25</v>
      </c>
      <c r="C8" s="2" t="s">
        <v>50</v>
      </c>
      <c r="D8" s="2">
        <v>2</v>
      </c>
      <c r="E8" s="3" t="s">
        <v>30</v>
      </c>
      <c r="F8" s="2">
        <v>2</v>
      </c>
      <c r="G8" s="3" t="s">
        <v>38</v>
      </c>
      <c r="H8" s="2">
        <v>2</v>
      </c>
    </row>
    <row r="9" spans="1:8" x14ac:dyDescent="0.25">
      <c r="A9" s="2">
        <v>7</v>
      </c>
      <c r="B9" s="3" t="s">
        <v>26</v>
      </c>
      <c r="C9" s="2" t="s">
        <v>50</v>
      </c>
      <c r="D9" s="2">
        <v>2</v>
      </c>
      <c r="E9" s="3" t="s">
        <v>30</v>
      </c>
      <c r="F9" s="2">
        <v>2</v>
      </c>
      <c r="G9" s="3" t="s">
        <v>46</v>
      </c>
      <c r="H9" s="2">
        <v>2</v>
      </c>
    </row>
    <row r="10" spans="1:8" x14ac:dyDescent="0.25">
      <c r="A10" s="2">
        <v>8</v>
      </c>
      <c r="B10" s="3" t="s">
        <v>27</v>
      </c>
      <c r="C10" s="2" t="s">
        <v>50</v>
      </c>
      <c r="D10" s="2">
        <v>2</v>
      </c>
      <c r="E10" s="3" t="s">
        <v>30</v>
      </c>
      <c r="F10" s="2">
        <v>2</v>
      </c>
      <c r="G10" s="3" t="s">
        <v>42</v>
      </c>
      <c r="H10" s="2">
        <v>2</v>
      </c>
    </row>
    <row r="11" spans="1:8" x14ac:dyDescent="0.25">
      <c r="A11" s="2">
        <v>9</v>
      </c>
      <c r="B11" s="3" t="s">
        <v>28</v>
      </c>
      <c r="C11" s="2" t="s">
        <v>50</v>
      </c>
      <c r="D11" s="2">
        <v>2</v>
      </c>
      <c r="E11" s="3" t="s">
        <v>30</v>
      </c>
      <c r="F11" s="2">
        <v>2</v>
      </c>
      <c r="G11" s="3" t="s">
        <v>42</v>
      </c>
      <c r="H11" s="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Working Ext</vt:lpstr>
      <vt:lpstr>Working Int</vt:lpstr>
      <vt:lpstr>Combo Ext</vt:lpstr>
      <vt:lpstr>Combo Int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BHUSHAN</dc:creator>
  <cp:lastModifiedBy>Krishna Choube</cp:lastModifiedBy>
  <cp:lastPrinted>2026-09-28T07:23:45Z</cp:lastPrinted>
  <dcterms:created xsi:type="dcterms:W3CDTF">2015-06-05T18:17:20Z</dcterms:created>
  <dcterms:modified xsi:type="dcterms:W3CDTF">2026-09-30T12:17:43Z</dcterms:modified>
</cp:coreProperties>
</file>